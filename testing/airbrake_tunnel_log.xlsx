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Designs" sheetId="2" state="visible" r:id="rId2"/>
    <sheet name="Tunnel runs" sheetId="3" state="visible" r:id="rId3"/>
    <sheet name="Combined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00E+00"/>
    <numFmt numFmtId="165" formatCode="0.00000"/>
    <numFmt numFmtId="166" formatCode="0.0"/>
    <numFmt numFmtId="167" formatCode="yyyy-mm-dd"/>
    <numFmt numFmtId="168" formatCode="0.000"/>
    <numFmt numFmtId="169" formatCode="0.0%"/>
    <numFmt numFmtId="170" formatCode="0&quot;% open&quot;"/>
  </numFmts>
  <fonts count="11">
    <font>
      <name val="Calibri"/>
      <family val="2"/>
      <color theme="1"/>
      <sz val="11"/>
      <scheme val="minor"/>
    </font>
    <font>
      <name val="Arial"/>
      <b val="1"/>
      <color rgb="00000000"/>
      <sz val="14"/>
    </font>
    <font>
      <name val="Arial"/>
      <i val="1"/>
      <color rgb="00595959"/>
      <sz val="9"/>
    </font>
    <font>
      <name val="Arial"/>
      <b val="1"/>
      <color rgb="00000000"/>
      <sz val="11"/>
    </font>
    <font>
      <name val="Arial"/>
      <color rgb="00000000"/>
      <sz val="10"/>
    </font>
    <font>
      <name val="Arial"/>
      <b val="1"/>
      <color rgb="00FFFFFF"/>
    </font>
    <font>
      <name val="Arial"/>
      <color rgb="000000FF"/>
      <sz val="10"/>
    </font>
    <font>
      <name val="Arial"/>
      <color rgb="00595959"/>
      <sz val="9"/>
    </font>
    <font>
      <name val="Arial"/>
      <b val="1"/>
      <color rgb="00FFFFFF"/>
      <sz val="10"/>
    </font>
    <font>
      <name val="Arial"/>
      <color rgb="00008000"/>
      <sz val="10"/>
    </font>
    <font>
      <name val="Arial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F2F2F2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pivotButton="0" quotePrefix="0" xfId="0"/>
    <xf numFmtId="0" fontId="4" fillId="0" borderId="1" pivotButton="0" quotePrefix="0" xfId="0"/>
    <xf numFmtId="0" fontId="6" fillId="0" borderId="1" pivotButton="0" quotePrefix="0" xfId="0"/>
    <xf numFmtId="0" fontId="7" fillId="0" borderId="1" pivotButton="0" quotePrefix="0" xfId="0"/>
    <xf numFmtId="164" fontId="6" fillId="0" borderId="1" pivotButton="0" quotePrefix="0" xfId="0"/>
    <xf numFmtId="0" fontId="6" fillId="3" borderId="1" pivotButton="0" quotePrefix="0" xfId="0"/>
    <xf numFmtId="9" fontId="6" fillId="3" borderId="1" pivotButton="0" quotePrefix="0" xfId="0"/>
    <xf numFmtId="0" fontId="6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165" fontId="4" fillId="0" borderId="1" pivotButton="0" quotePrefix="0" xfId="0"/>
    <xf numFmtId="166" fontId="4" fillId="0" borderId="1" pivotButton="0" quotePrefix="0" xfId="0"/>
    <xf numFmtId="167" fontId="0" fillId="0" borderId="0" pivotButton="0" quotePrefix="0" xfId="0"/>
    <xf numFmtId="168" fontId="4" fillId="4" borderId="0" pivotButton="0" quotePrefix="0" xfId="0"/>
    <xf numFmtId="166" fontId="4" fillId="4" borderId="0" pivotButton="0" quotePrefix="0" xfId="0"/>
    <xf numFmtId="168" fontId="9" fillId="4" borderId="0" pivotButton="0" quotePrefix="0" xfId="0"/>
    <xf numFmtId="165" fontId="9" fillId="4" borderId="0" pivotButton="0" quotePrefix="0" xfId="0"/>
    <xf numFmtId="11" fontId="4" fillId="4" borderId="0" pivotButton="0" quotePrefix="0" xfId="0"/>
    <xf numFmtId="3" fontId="4" fillId="4" borderId="0" pivotButton="0" quotePrefix="0" xfId="0"/>
    <xf numFmtId="169" fontId="4" fillId="4" borderId="0" pivotButton="0" quotePrefix="0" xfId="0"/>
    <xf numFmtId="0" fontId="4" fillId="4" borderId="0" pivotButton="0" quotePrefix="0" xfId="0"/>
    <xf numFmtId="0" fontId="10" fillId="5" borderId="0" applyAlignment="1" pivotButton="0" quotePrefix="0" xfId="0">
      <alignment horizontal="center"/>
    </xf>
    <xf numFmtId="170" fontId="8" fillId="2" borderId="1" applyAlignment="1" pivotButton="0" quotePrefix="0" xfId="0">
      <alignment horizontal="center" vertical="center" wrapText="1"/>
    </xf>
    <xf numFmtId="0" fontId="9" fillId="0" borderId="1" pivotButton="0" quotePrefix="0" xfId="0"/>
    <xf numFmtId="168" fontId="4" fillId="0" borderId="1" pivotButton="0" quotePrefix="0" xfId="0"/>
    <xf numFmtId="165" fontId="9" fillId="0" borderId="1" pivotButton="0" quotePrefix="0" xfId="0"/>
    <xf numFmtId="3" fontId="4" fillId="0" borderId="1" pivotButton="0" quotePrefix="0" xfId="0"/>
    <xf numFmtId="3" fontId="9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F4CCCC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Whole-rocket drag coefficient vs brake deployment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'Summary'!$B$5:$F$5</f>
            </numRef>
          </cat>
          <val>
            <numRef>
              <f>'Summary'!$B$6:$F$6</f>
            </numRef>
          </val>
        </ser>
        <ser>
          <idx val="1"/>
          <order val="1"/>
          <tx>
            <strRef>
              <f>'Summary'!A7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'Summary'!$B$5:$F$5</f>
            </numRef>
          </cat>
          <val>
            <numRef>
              <f>'Summary'!$B$7:$F$7</f>
            </numRef>
          </val>
        </ser>
        <ser>
          <idx val="2"/>
          <order val="2"/>
          <tx>
            <strRef>
              <f>'Summary'!A8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'Summary'!$B$5:$F$5</f>
            </numRef>
          </cat>
          <val>
            <numRef>
              <f>'Summary'!$B$8:$F$8</f>
            </numRef>
          </val>
        </ser>
        <ser>
          <idx val="3"/>
          <order val="3"/>
          <tx>
            <strRef>
              <f>'Summary'!A9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'Summary'!$B$5:$F$5</f>
            </numRef>
          </cat>
          <val>
            <numRef>
              <f>'Summary'!$B$9:$F$9</f>
            </numRef>
          </val>
        </ser>
        <ser>
          <idx val="4"/>
          <order val="4"/>
          <tx>
            <strRef>
              <f>'Summary'!A10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'Summary'!$B$5:$F$5</f>
            </numRef>
          </cat>
          <val>
            <numRef>
              <f>'Summary'!$B$10:$F$10</f>
            </numRef>
          </val>
        </ser>
        <ser>
          <idx val="5"/>
          <order val="5"/>
          <tx>
            <strRef>
              <f>'Summary'!A11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'Summary'!$B$5:$F$5</f>
            </numRef>
          </cat>
          <val>
            <numRef>
              <f>'Summary'!$B$11:$F$11</f>
            </numRef>
          </val>
        </ser>
        <ser>
          <idx val="6"/>
          <order val="6"/>
          <tx>
            <strRef>
              <f>'Summary'!A12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'Summary'!$B$5:$F$5</f>
            </numRef>
          </cat>
          <val>
            <numRef>
              <f>'Summary'!$B$12:$F$12</f>
            </numRef>
          </val>
        </ser>
        <ser>
          <idx val="7"/>
          <order val="7"/>
          <tx>
            <strRef>
              <f>'Summary'!A13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'Summary'!$B$5:$F$5</f>
            </numRef>
          </cat>
          <val>
            <numRef>
              <f>'Summary'!$B$13:$F$13</f>
            </numRef>
          </val>
        </ser>
        <ser>
          <idx val="8"/>
          <order val="8"/>
          <tx>
            <strRef>
              <f>'Summary'!A14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'Summary'!$B$5:$F$5</f>
            </numRef>
          </cat>
          <val>
            <numRef>
              <f>'Summary'!$B$14:$F$14</f>
            </numRef>
          </val>
        </ser>
        <ser>
          <idx val="9"/>
          <order val="9"/>
          <tx>
            <strRef>
              <f>'Summary'!A15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'Summary'!$B$5:$F$5</f>
            </numRef>
          </cat>
          <val>
            <numRef>
              <f>'Summary'!$B$15:$F$15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Deployment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Drag coefficient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Workbook</author>
  </authors>
  <commentList>
    <comment ref="A5" authorId="0" shapeId="0">
      <text>
        <t>Example row showing the format. Source: MIT Rocket Team wiki, Air Brakes page. Replace or delete.</t>
      </text>
    </comment>
  </commentList>
</comments>
</file>

<file path=xl/comments/comment2.xml><?xml version="1.0" encoding="utf-8"?>
<comments xmlns="http://schemas.openxmlformats.org/spreadsheetml/2006/main">
  <authors>
    <author>Workbook</author>
  </authors>
  <commentList>
    <comment ref="F4" authorId="0" shapeId="0">
      <text>
        <t>The nominal tunnel setting. Combined matches runs on this value, so type it the same way every time (for example 20, not 20.1).</t>
      </text>
    </comment>
    <comment ref="H4" authorId="0" shapeId="0">
      <text>
        <t>Force from the balance, in newtons. If your scale reads grams, multiply by 0.00981.</t>
      </text>
    </comment>
    <comment ref="I4" authorId="0" shapeId="0">
      <text>
        <t>Force with only the mount/sting in the tunnel at the same speed. It is subtracted from the measured force.</t>
      </text>
    </comment>
    <comment ref="X4" authorId="0" shapeId="0">
      <text>
        <t>Design | speed setpoint | deployment | section. Combined matches runs on this.</t>
      </text>
    </comment>
  </commentList>
</comments>
</file>

<file path=xl/comments/comment3.xml><?xml version="1.0" encoding="utf-8"?>
<comments xmlns="http://schemas.openxmlformats.org/spreadsheetml/2006/main">
  <authors>
    <author>Workbook</author>
  </authors>
  <commentList>
    <comment ref="L4" authorId="0" shapeId="0">
      <text>
        <t>The air brake section at 0% deployment, same design and speed. Subtracting it cancels the extra drag from the cut ends.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  <col width="70" customWidth="1" min="4" max="4"/>
  </cols>
  <sheetData>
    <row r="1">
      <c r="A1" s="1" t="inlineStr">
        <is>
          <t>Air brake wind tunnel test log</t>
        </is>
      </c>
    </row>
    <row r="2">
      <c r="A2" s="2" t="inlineStr">
        <is>
          <t>Log every tunnel run on the Tunnel runs tab. Combined and Summary update by themselves.</t>
        </is>
      </c>
    </row>
    <row r="4">
      <c r="A4" s="3" t="inlineStr">
        <is>
          <t>How to use this workbook</t>
        </is>
      </c>
    </row>
    <row r="5">
      <c r="A5" s="4" t="inlineStr">
        <is>
          <t>1. Add each air brake version on the Designs tab (one row per version).</t>
        </is>
      </c>
    </row>
    <row r="6">
      <c r="A6" s="4" t="inlineStr">
        <is>
          <t>2. Log every tunnel measurement on Tunnel runs: one row per section (Nose, Air brake or Fin can) per run.</t>
        </is>
      </c>
    </row>
    <row r="7">
      <c r="A7" s="4" t="inlineStr">
        <is>
          <t>3. On Combined, add a row for each design, speed setpoint and deployment you tested. It averages repeat runs and adds the three sections together.</t>
        </is>
      </c>
    </row>
    <row r="8">
      <c r="A8" s="4" t="inlineStr">
        <is>
          <t>4. Summary shows drag coefficient against deployment and an estimated apogee for each design.</t>
        </is>
      </c>
    </row>
    <row r="9">
      <c r="A9" s="4" t="inlineStr">
        <is>
          <t>Blue text: values you type.  Yellow fill: needs your number.  Black text: formulas, leave them alone.</t>
        </is>
      </c>
    </row>
    <row r="10">
      <c r="A10" s="4" t="inlineStr">
        <is>
          <t>Need more rows? Select the last filled row on Tunnel runs or Combined and drag it down; the formulas copy with it.</t>
        </is>
      </c>
    </row>
    <row r="12">
      <c r="A12" s="3" t="inlineStr">
        <is>
          <t>Constants and inputs</t>
        </is>
      </c>
    </row>
    <row r="13">
      <c r="A13" s="5" t="inlineStr">
        <is>
          <t>Setting</t>
        </is>
      </c>
      <c r="B13" s="5" t="inlineStr">
        <is>
          <t>Value</t>
        </is>
      </c>
      <c r="C13" s="5" t="inlineStr">
        <is>
          <t>Unit</t>
        </is>
      </c>
      <c r="D13" s="5" t="inlineStr">
        <is>
          <t>Source / note</t>
        </is>
      </c>
    </row>
    <row r="14">
      <c r="A14" s="6" t="inlineStr">
        <is>
          <t>Gas constant for dry air</t>
        </is>
      </c>
      <c r="B14" s="7" t="n">
        <v>287.05</v>
      </c>
      <c r="C14" s="6" t="inlineStr">
        <is>
          <t>J/(kg·K)</t>
        </is>
      </c>
      <c r="D14" s="8" t="inlineStr">
        <is>
          <t>Standard value for dry air</t>
        </is>
      </c>
    </row>
    <row r="15">
      <c r="A15" s="6" t="inlineStr">
        <is>
          <t>Sutherland viscosity constant C1</t>
        </is>
      </c>
      <c r="B15" s="9" t="n">
        <v>1.458e-06</v>
      </c>
      <c r="C15" s="6" t="inlineStr">
        <is>
          <t>kg/(m·s·K^0.5)</t>
        </is>
      </c>
      <c r="D15" s="8" t="inlineStr">
        <is>
          <t>Sutherland's law for air (standard constants)</t>
        </is>
      </c>
    </row>
    <row r="16">
      <c r="A16" s="6" t="inlineStr">
        <is>
          <t>Sutherland temperature S</t>
        </is>
      </c>
      <c r="B16" s="7" t="n">
        <v>110.4</v>
      </c>
      <c r="C16" s="6" t="inlineStr">
        <is>
          <t>K</t>
        </is>
      </c>
      <c r="D16" s="8" t="inlineStr">
        <is>
          <t>Sutherland's law for air (standard constants)</t>
        </is>
      </c>
    </row>
    <row r="17">
      <c r="A17" s="6" t="inlineStr">
        <is>
          <t>Gravity</t>
        </is>
      </c>
      <c r="B17" s="7" t="n">
        <v>9.81</v>
      </c>
      <c r="C17" s="6" t="inlineStr">
        <is>
          <t>m/s²</t>
        </is>
      </c>
      <c r="D17" s="8" t="inlineStr">
        <is>
          <t>Standard gravity</t>
        </is>
      </c>
    </row>
    <row r="18">
      <c r="A18" s="6" t="inlineStr">
        <is>
          <t>Feet per metre</t>
        </is>
      </c>
      <c r="B18" s="7" t="n">
        <v>3.28084</v>
      </c>
      <c r="C18" s="6" t="inlineStr">
        <is>
          <t>ft/m</t>
        </is>
      </c>
      <c r="D18" s="8" t="inlineStr">
        <is>
          <t>Unit conversion</t>
        </is>
      </c>
    </row>
    <row r="19">
      <c r="A19" s="6" t="inlineStr">
        <is>
          <t>Air density at launch site</t>
        </is>
      </c>
      <c r="B19" s="10" t="n">
        <v>1.225</v>
      </c>
      <c r="C19" s="6" t="inlineStr">
        <is>
          <t>kg/m³</t>
        </is>
      </c>
      <c r="D19" s="8" t="inlineStr">
        <is>
          <t>ISA sea level. Replace with your launch site value.</t>
        </is>
      </c>
    </row>
    <row r="20">
      <c r="A20" s="6" t="inlineStr">
        <is>
          <t>Target apogee</t>
        </is>
      </c>
      <c r="B20" s="10" t="n">
        <v>800</v>
      </c>
      <c r="C20" s="6" t="inlineStr">
        <is>
          <t>ft</t>
        </is>
      </c>
      <c r="D20" s="8" t="inlineStr">
        <is>
          <t>Source: user-provided (ARC target)</t>
        </is>
      </c>
    </row>
    <row r="21">
      <c r="A21" s="6" t="inlineStr">
        <is>
          <t>Tunnel test-section area</t>
        </is>
      </c>
      <c r="B21" s="10" t="n"/>
      <c r="C21" s="6" t="inlineStr">
        <is>
          <t>m²</t>
        </is>
      </c>
      <c r="D21" s="8" t="inlineStr">
        <is>
          <t>Fill in: width × height of your tunnel's test section</t>
        </is>
      </c>
    </row>
    <row r="22">
      <c r="A22" s="6" t="inlineStr">
        <is>
          <t>Blockage limit</t>
        </is>
      </c>
      <c r="B22" s="11" t="n">
        <v>0.1</v>
      </c>
      <c r="C22" s="6" t="inlineStr">
        <is>
          <t>fraction</t>
        </is>
      </c>
      <c r="D22" s="8" t="inlineStr">
        <is>
          <t>Rule of thumb: above about 10% the walls inflate the drag reading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style="12" min="1" max="1"/>
    <col width="30" customWidth="1" style="12" min="2" max="2"/>
    <col width="12" customWidth="1" style="12" min="3" max="3"/>
    <col width="12" customWidth="1" style="12" min="4" max="4"/>
    <col width="10" customWidth="1" style="12" min="5" max="5"/>
    <col width="11" customWidth="1" style="12" min="6" max="6"/>
    <col width="11" customWidth="1" style="12" min="7" max="7"/>
    <col width="13" customWidth="1" style="12" min="8" max="8"/>
    <col width="22" customWidth="1" style="12" min="9" max="9"/>
    <col width="11" customWidth="1" style="12" min="10" max="10"/>
    <col width="30" customWidth="1" style="12" min="11" max="11"/>
    <col width="40" customWidth="1" style="12" min="12" max="12"/>
    <col width="13" customWidth="1" style="12" min="13" max="13"/>
    <col width="13" customWidth="1" style="12" min="14" max="14"/>
    <col width="13" customWidth="1" style="12" min="15" max="15"/>
    <col width="13" customWidth="1" style="12" min="16" max="16"/>
    <col width="13" customWidth="1" style="12" min="17" max="17"/>
    <col width="13" customWidth="1" style="12" min="18" max="18"/>
    <col width="13" customWidth="1" style="12" min="19" max="19"/>
    <col width="13" customWidth="1" style="12" min="20" max="20"/>
    <col width="13" customWidth="1" style="12" min="21" max="21"/>
    <col width="13" customWidth="1" style="12" min="22" max="22"/>
    <col width="13" customWidth="1" style="12" min="23" max="23"/>
    <col width="13" customWidth="1" style="12" min="24" max="24"/>
  </cols>
  <sheetData>
    <row r="1">
      <c r="A1" s="1" t="inlineStr">
        <is>
          <t>Air brake designs</t>
        </is>
      </c>
    </row>
    <row r="2">
      <c r="A2" s="2" t="inlineStr">
        <is>
          <t>One row per version. Design ID is what the other tabs look up, so keep it short and unique.</t>
        </is>
      </c>
    </row>
    <row r="4" ht="42" customHeight="1">
      <c r="A4" s="13" t="inlineStr">
        <is>
          <t>Design ID</t>
        </is>
      </c>
      <c r="B4" s="13" t="inlineStr">
        <is>
          <t>Description</t>
        </is>
      </c>
      <c r="C4" s="13" t="inlineStr">
        <is>
          <t>Body tube OD (mm)</t>
        </is>
      </c>
      <c r="D4" s="13" t="inlineStr">
        <is>
          <t>Reference area (m²)</t>
        </is>
      </c>
      <c r="E4" s="13" t="inlineStr">
        <is>
          <t>Number of leaves</t>
        </is>
      </c>
      <c r="F4" s="13" t="inlineStr">
        <is>
          <t>Leaf width (mm)</t>
        </is>
      </c>
      <c r="G4" s="13" t="inlineStr">
        <is>
          <t>Leaf extension (mm)</t>
        </is>
      </c>
      <c r="H4" s="13" t="inlineStr">
        <is>
          <t>Brake area, fully open (cm²)</t>
        </is>
      </c>
      <c r="I4" s="13" t="inlineStr">
        <is>
          <t>Servo</t>
        </is>
      </c>
      <c r="J4" s="13" t="inlineStr">
        <is>
          <t>Rocket mass (g)</t>
        </is>
      </c>
      <c r="K4" s="13" t="inlineStr">
        <is>
          <t>CAD file / link</t>
        </is>
      </c>
      <c r="L4" s="13" t="inlineStr">
        <is>
          <t>Notes</t>
        </is>
      </c>
    </row>
    <row r="5">
      <c r="A5" s="7" t="inlineStr">
        <is>
          <t>MIT-6in</t>
        </is>
      </c>
      <c r="B5" s="7" t="inlineStr">
        <is>
          <t>Example: MIT Rocket Team CDR design (replace with your own)</t>
        </is>
      </c>
      <c r="C5" s="7" t="n">
        <v>152.4</v>
      </c>
      <c r="D5" s="14">
        <f>IF(C5="","",PI()*(C5/2000)^2)</f>
        <v/>
      </c>
      <c r="E5" s="7" t="n">
        <v>4</v>
      </c>
      <c r="F5" s="7" t="n">
        <v>88.90000000000001</v>
      </c>
      <c r="G5" s="7" t="n">
        <v>57.15</v>
      </c>
      <c r="H5" s="15">
        <f>IF(OR(E5="",F5="",G5=""),"",E5*F5*G5/100)</f>
        <v/>
      </c>
      <c r="I5" s="7" t="inlineStr">
        <is>
          <t>1500 oz-in industrial servo</t>
        </is>
      </c>
      <c r="J5" s="7" t="n"/>
      <c r="K5" s="7" t="inlineStr">
        <is>
          <t>airbrake.fs</t>
        </is>
      </c>
      <c r="L5" s="7" t="inlineStr">
        <is>
          <t>Leaf size from the MIT wiki</t>
        </is>
      </c>
    </row>
    <row r="6">
      <c r="A6" s="7" t="n"/>
      <c r="B6" s="7" t="n"/>
      <c r="C6" s="7" t="n"/>
      <c r="D6" s="14">
        <f>IF(C6="","",PI()*(C6/2000)^2)</f>
        <v/>
      </c>
      <c r="E6" s="7" t="n"/>
      <c r="F6" s="7" t="n"/>
      <c r="G6" s="7" t="n"/>
      <c r="H6" s="15">
        <f>IF(OR(E6="",F6="",G6=""),"",E6*F6*G6/100)</f>
        <v/>
      </c>
      <c r="I6" s="7" t="n"/>
      <c r="J6" s="7" t="n"/>
      <c r="K6" s="7" t="n"/>
      <c r="L6" s="7" t="n"/>
    </row>
    <row r="7">
      <c r="A7" s="7" t="n"/>
      <c r="B7" s="7" t="n"/>
      <c r="C7" s="7" t="n"/>
      <c r="D7" s="14">
        <f>IF(C7="","",PI()*(C7/2000)^2)</f>
        <v/>
      </c>
      <c r="E7" s="7" t="n"/>
      <c r="F7" s="7" t="n"/>
      <c r="G7" s="7" t="n"/>
      <c r="H7" s="15">
        <f>IF(OR(E7="",F7="",G7=""),"",E7*F7*G7/100)</f>
        <v/>
      </c>
      <c r="I7" s="7" t="n"/>
      <c r="J7" s="7" t="n"/>
      <c r="K7" s="7" t="n"/>
      <c r="L7" s="7" t="n"/>
    </row>
    <row r="8">
      <c r="A8" s="7" t="n"/>
      <c r="B8" s="7" t="n"/>
      <c r="C8" s="7" t="n"/>
      <c r="D8" s="14">
        <f>IF(C8="","",PI()*(C8/2000)^2)</f>
        <v/>
      </c>
      <c r="E8" s="7" t="n"/>
      <c r="F8" s="7" t="n"/>
      <c r="G8" s="7" t="n"/>
      <c r="H8" s="15">
        <f>IF(OR(E8="",F8="",G8=""),"",E8*F8*G8/100)</f>
        <v/>
      </c>
      <c r="I8" s="7" t="n"/>
      <c r="J8" s="7" t="n"/>
      <c r="K8" s="7" t="n"/>
      <c r="L8" s="7" t="n"/>
    </row>
    <row r="9">
      <c r="A9" s="7" t="n"/>
      <c r="B9" s="7" t="n"/>
      <c r="C9" s="7" t="n"/>
      <c r="D9" s="14">
        <f>IF(C9="","",PI()*(C9/2000)^2)</f>
        <v/>
      </c>
      <c r="E9" s="7" t="n"/>
      <c r="F9" s="7" t="n"/>
      <c r="G9" s="7" t="n"/>
      <c r="H9" s="15">
        <f>IF(OR(E9="",F9="",G9=""),"",E9*F9*G9/100)</f>
        <v/>
      </c>
      <c r="I9" s="7" t="n"/>
      <c r="J9" s="7" t="n"/>
      <c r="K9" s="7" t="n"/>
      <c r="L9" s="7" t="n"/>
    </row>
    <row r="10">
      <c r="A10" s="7" t="n"/>
      <c r="B10" s="7" t="n"/>
      <c r="C10" s="7" t="n"/>
      <c r="D10" s="14">
        <f>IF(C10="","",PI()*(C10/2000)^2)</f>
        <v/>
      </c>
      <c r="E10" s="7" t="n"/>
      <c r="F10" s="7" t="n"/>
      <c r="G10" s="7" t="n"/>
      <c r="H10" s="15">
        <f>IF(OR(E10="",F10="",G10=""),"",E10*F10*G10/100)</f>
        <v/>
      </c>
      <c r="I10" s="7" t="n"/>
      <c r="J10" s="7" t="n"/>
      <c r="K10" s="7" t="n"/>
      <c r="L10" s="7" t="n"/>
    </row>
    <row r="11">
      <c r="A11" s="7" t="n"/>
      <c r="B11" s="7" t="n"/>
      <c r="C11" s="7" t="n"/>
      <c r="D11" s="14">
        <f>IF(C11="","",PI()*(C11/2000)^2)</f>
        <v/>
      </c>
      <c r="E11" s="7" t="n"/>
      <c r="F11" s="7" t="n"/>
      <c r="G11" s="7" t="n"/>
      <c r="H11" s="15">
        <f>IF(OR(E11="",F11="",G11=""),"",E11*F11*G11/100)</f>
        <v/>
      </c>
      <c r="I11" s="7" t="n"/>
      <c r="J11" s="7" t="n"/>
      <c r="K11" s="7" t="n"/>
      <c r="L11" s="7" t="n"/>
    </row>
    <row r="12">
      <c r="A12" s="7" t="n"/>
      <c r="B12" s="7" t="n"/>
      <c r="C12" s="7" t="n"/>
      <c r="D12" s="14">
        <f>IF(C12="","",PI()*(C12/2000)^2)</f>
        <v/>
      </c>
      <c r="E12" s="7" t="n"/>
      <c r="F12" s="7" t="n"/>
      <c r="G12" s="7" t="n"/>
      <c r="H12" s="15">
        <f>IF(OR(E12="",F12="",G12=""),"",E12*F12*G12/100)</f>
        <v/>
      </c>
      <c r="I12" s="7" t="n"/>
      <c r="J12" s="7" t="n"/>
      <c r="K12" s="7" t="n"/>
      <c r="L12" s="7" t="n"/>
    </row>
    <row r="13">
      <c r="A13" s="7" t="n"/>
      <c r="B13" s="7" t="n"/>
      <c r="C13" s="7" t="n"/>
      <c r="D13" s="14">
        <f>IF(C13="","",PI()*(C13/2000)^2)</f>
        <v/>
      </c>
      <c r="E13" s="7" t="n"/>
      <c r="F13" s="7" t="n"/>
      <c r="G13" s="7" t="n"/>
      <c r="H13" s="15">
        <f>IF(OR(E13="",F13="",G13=""),"",E13*F13*G13/100)</f>
        <v/>
      </c>
      <c r="I13" s="7" t="n"/>
      <c r="J13" s="7" t="n"/>
      <c r="K13" s="7" t="n"/>
      <c r="L13" s="7" t="n"/>
    </row>
    <row r="14">
      <c r="A14" s="7" t="n"/>
      <c r="B14" s="7" t="n"/>
      <c r="C14" s="7" t="n"/>
      <c r="D14" s="14">
        <f>IF(C14="","",PI()*(C14/2000)^2)</f>
        <v/>
      </c>
      <c r="E14" s="7" t="n"/>
      <c r="F14" s="7" t="n"/>
      <c r="G14" s="7" t="n"/>
      <c r="H14" s="15">
        <f>IF(OR(E14="",F14="",G14=""),"",E14*F14*G14/100)</f>
        <v/>
      </c>
      <c r="I14" s="7" t="n"/>
      <c r="J14" s="7" t="n"/>
      <c r="K14" s="7" t="n"/>
      <c r="L14" s="7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style="12" min="1" max="1"/>
    <col width="11" customWidth="1" style="12" min="2" max="2"/>
    <col width="12" customWidth="1" style="12" min="3" max="3"/>
    <col width="11" customWidth="1" style="12" min="4" max="4"/>
    <col width="11" customWidth="1" style="12" min="5" max="5"/>
    <col width="11" customWidth="1" style="12" min="6" max="6"/>
    <col width="11" customWidth="1" style="12" min="7" max="7"/>
    <col width="11" customWidth="1" style="12" min="8" max="8"/>
    <col width="10" customWidth="1" style="12" min="9" max="9"/>
    <col width="9" customWidth="1" style="12" min="10" max="10"/>
    <col width="10" customWidth="1" style="12" min="11" max="11"/>
    <col width="11" customWidth="1" style="12" min="12" max="12"/>
    <col width="28" customWidth="1" style="12" min="13" max="13"/>
    <col width="10" customWidth="1" style="12" min="14" max="14"/>
    <col width="10" customWidth="1" style="12" min="15" max="15"/>
    <col width="10" customWidth="1" style="12" min="16" max="16"/>
    <col width="9" customWidth="1" style="12" min="17" max="17"/>
    <col width="11" customWidth="1" style="12" min="18" max="18"/>
    <col width="11" customWidth="1" style="12" min="19" max="19"/>
    <col width="12" customWidth="1" style="12" min="20" max="20"/>
    <col width="12" customWidth="1" style="12" min="21" max="21"/>
    <col width="9" customWidth="1" style="12" min="22" max="22"/>
    <col width="10" customWidth="1" style="12" min="23" max="23"/>
    <col width="26" customWidth="1" style="12" min="24" max="24"/>
  </cols>
  <sheetData>
    <row r="1">
      <c r="A1" s="1" t="inlineStr">
        <is>
          <t>Wind tunnel runs</t>
        </is>
      </c>
    </row>
    <row r="2">
      <c r="A2" s="2" t="inlineStr">
        <is>
          <t>One row per section per run. Grey columns are calculated.</t>
        </is>
      </c>
    </row>
    <row r="4" ht="42" customHeight="1">
      <c r="A4" s="13" t="inlineStr">
        <is>
          <t>Run ID</t>
        </is>
      </c>
      <c r="B4" s="13" t="inlineStr">
        <is>
          <t>Date</t>
        </is>
      </c>
      <c r="C4" s="13" t="inlineStr">
        <is>
          <t>Design ID</t>
        </is>
      </c>
      <c r="D4" s="13" t="inlineStr">
        <is>
          <t>Section</t>
        </is>
      </c>
      <c r="E4" s="13" t="inlineStr">
        <is>
          <t>Deployment (%)</t>
        </is>
      </c>
      <c r="F4" s="13" t="inlineStr">
        <is>
          <t>Speed setpoint (m/s)</t>
        </is>
      </c>
      <c r="G4" s="13" t="inlineStr">
        <is>
          <t>Measured airspeed (m/s)</t>
        </is>
      </c>
      <c r="H4" s="13" t="inlineStr">
        <is>
          <t>Measured force (N)</t>
        </is>
      </c>
      <c r="I4" s="13" t="inlineStr">
        <is>
          <t>Tare force (N)</t>
        </is>
      </c>
      <c r="J4" s="13" t="inlineStr">
        <is>
          <t>Air temp (°C)</t>
        </is>
      </c>
      <c r="K4" s="13" t="inlineStr">
        <is>
          <t>Air pressure (kPa)</t>
        </is>
      </c>
      <c r="L4" s="13" t="inlineStr">
        <is>
          <t>Model frontal area (cm²)</t>
        </is>
      </c>
      <c r="M4" s="13" t="inlineStr">
        <is>
          <t>Notes</t>
        </is>
      </c>
      <c r="N4" s="13" t="inlineStr">
        <is>
          <t>Air density (kg/m³)</t>
        </is>
      </c>
      <c r="O4" s="13" t="inlineStr">
        <is>
          <t>Dynamic pressure (Pa)</t>
        </is>
      </c>
      <c r="P4" s="13" t="inlineStr">
        <is>
          <t>Net drag (N)</t>
        </is>
      </c>
      <c r="Q4" s="13" t="inlineStr">
        <is>
          <t>Body OD (m)</t>
        </is>
      </c>
      <c r="R4" s="13" t="inlineStr">
        <is>
          <t>Reference area (m²)</t>
        </is>
      </c>
      <c r="S4" s="13" t="inlineStr">
        <is>
          <t>Section drag coefficient</t>
        </is>
      </c>
      <c r="T4" s="13" t="inlineStr">
        <is>
          <t>Air viscosity (Pa·s)</t>
        </is>
      </c>
      <c r="U4" s="13" t="inlineStr">
        <is>
          <t>Reynolds number</t>
        </is>
      </c>
      <c r="V4" s="13" t="inlineStr">
        <is>
          <t>Blockage</t>
        </is>
      </c>
      <c r="W4" s="13" t="inlineStr">
        <is>
          <t>Blockage check</t>
        </is>
      </c>
      <c r="X4" s="13" t="inlineStr">
        <is>
          <t>Condition key</t>
        </is>
      </c>
    </row>
    <row r="5">
      <c r="A5" t="inlineStr">
        <is>
          <t>EX-1</t>
        </is>
      </c>
      <c r="B5" s="16" t="n">
        <v>46299</v>
      </c>
      <c r="C5" t="inlineStr">
        <is>
          <t>MIT-6in</t>
        </is>
      </c>
      <c r="D5" t="inlineStr">
        <is>
          <t>Air brake</t>
        </is>
      </c>
      <c r="E5" t="n">
        <v>100</v>
      </c>
      <c r="F5" t="n">
        <v>20</v>
      </c>
      <c r="G5" t="n">
        <v>20.1</v>
      </c>
      <c r="H5" t="n">
        <v>6.4</v>
      </c>
      <c r="I5" t="n">
        <v>0.3</v>
      </c>
      <c r="J5" t="n">
        <v>21</v>
      </c>
      <c r="K5" t="n">
        <v>101.3</v>
      </c>
      <c r="L5" t="n">
        <v>182.4</v>
      </c>
      <c r="M5" t="inlineStr">
        <is>
          <t>Example row showing the format. Delete it.</t>
        </is>
      </c>
      <c r="N5" s="17">
        <f>IF($A5="","",$K5*1000/(Settings!$B$14*($J5+273.15)))</f>
        <v/>
      </c>
      <c r="O5" s="18">
        <f>IF($A5="","",0.5*N5*G5^2)</f>
        <v/>
      </c>
      <c r="P5" s="17">
        <f>IF($A5="","",H5-I5)</f>
        <v/>
      </c>
      <c r="Q5" s="19">
        <f>IF(COUNTIF(Designs!$A:$A,$C5)=0,"",INDEX(Designs!$C:$C,MATCH($C5,Designs!$A:$A,0))/1000)</f>
        <v/>
      </c>
      <c r="R5" s="20">
        <f>IF(COUNTIF(Designs!$A:$A,$C5)=0,"",INDEX(Designs!$D:$D,MATCH($C5,Designs!$A:$A,0)))</f>
        <v/>
      </c>
      <c r="S5" s="17">
        <f>IF(OR($A5="",O5="",R5=""),"",IF(O5*R5=0,"",P5/(O5*R5)))</f>
        <v/>
      </c>
      <c r="T5" s="21">
        <f>IF($A5="","",Settings!$B$15*($J5+273.15)^1.5/($J5+273.15+Settings!$B$16))</f>
        <v/>
      </c>
      <c r="U5" s="22">
        <f>IF(OR($A5="",Q5=""),"",N5*G5*Q5/T5)</f>
        <v/>
      </c>
      <c r="V5" s="23">
        <f>IF(OR(L5="",Settings!$B$21=""),"",L5/10000/Settings!$B$21)</f>
        <v/>
      </c>
      <c r="W5" s="24">
        <f>IF(V5="","",IF(V5&gt;Settings!$B$22,"Too high","OK"))</f>
        <v/>
      </c>
      <c r="X5" s="24">
        <f>IF($A5="","",$C5&amp;"|"&amp;$F5&amp;"|"&amp;$E5&amp;"|"&amp;$D5)</f>
        <v/>
      </c>
    </row>
    <row r="6">
      <c r="B6" s="16" t="n"/>
      <c r="N6" s="17">
        <f>IF($A6="","",$K6*1000/(Settings!$B$14*($J6+273.15)))</f>
        <v/>
      </c>
      <c r="O6" s="18">
        <f>IF($A6="","",0.5*N6*G6^2)</f>
        <v/>
      </c>
      <c r="P6" s="17">
        <f>IF($A6="","",H6-I6)</f>
        <v/>
      </c>
      <c r="Q6" s="19">
        <f>IF(COUNTIF(Designs!$A:$A,$C6)=0,"",INDEX(Designs!$C:$C,MATCH($C6,Designs!$A:$A,0))/1000)</f>
        <v/>
      </c>
      <c r="R6" s="20">
        <f>IF(COUNTIF(Designs!$A:$A,$C6)=0,"",INDEX(Designs!$D:$D,MATCH($C6,Designs!$A:$A,0)))</f>
        <v/>
      </c>
      <c r="S6" s="17">
        <f>IF(OR($A6="",O6="",R6=""),"",IF(O6*R6=0,"",P6/(O6*R6)))</f>
        <v/>
      </c>
      <c r="T6" s="21">
        <f>IF($A6="","",Settings!$B$15*($J6+273.15)^1.5/($J6+273.15+Settings!$B$16))</f>
        <v/>
      </c>
      <c r="U6" s="22">
        <f>IF(OR($A6="",Q6=""),"",N6*G6*Q6/T6)</f>
        <v/>
      </c>
      <c r="V6" s="23">
        <f>IF(OR(L6="",Settings!$B$21=""),"",L6/10000/Settings!$B$21)</f>
        <v/>
      </c>
      <c r="W6" s="24">
        <f>IF(V6="","",IF(V6&gt;Settings!$B$22,"Too high","OK"))</f>
        <v/>
      </c>
      <c r="X6" s="24">
        <f>IF($A6="","",$C6&amp;"|"&amp;$F6&amp;"|"&amp;$E6&amp;"|"&amp;$D6)</f>
        <v/>
      </c>
    </row>
    <row r="7">
      <c r="B7" s="16" t="n"/>
      <c r="N7" s="17">
        <f>IF($A7="","",$K7*1000/(Settings!$B$14*($J7+273.15)))</f>
        <v/>
      </c>
      <c r="O7" s="18">
        <f>IF($A7="","",0.5*N7*G7^2)</f>
        <v/>
      </c>
      <c r="P7" s="17">
        <f>IF($A7="","",H7-I7)</f>
        <v/>
      </c>
      <c r="Q7" s="19">
        <f>IF(COUNTIF(Designs!$A:$A,$C7)=0,"",INDEX(Designs!$C:$C,MATCH($C7,Designs!$A:$A,0))/1000)</f>
        <v/>
      </c>
      <c r="R7" s="20">
        <f>IF(COUNTIF(Designs!$A:$A,$C7)=0,"",INDEX(Designs!$D:$D,MATCH($C7,Designs!$A:$A,0)))</f>
        <v/>
      </c>
      <c r="S7" s="17">
        <f>IF(OR($A7="",O7="",R7=""),"",IF(O7*R7=0,"",P7/(O7*R7)))</f>
        <v/>
      </c>
      <c r="T7" s="21">
        <f>IF($A7="","",Settings!$B$15*($J7+273.15)^1.5/($J7+273.15+Settings!$B$16))</f>
        <v/>
      </c>
      <c r="U7" s="22">
        <f>IF(OR($A7="",Q7=""),"",N7*G7*Q7/T7)</f>
        <v/>
      </c>
      <c r="V7" s="23">
        <f>IF(OR(L7="",Settings!$B$21=""),"",L7/10000/Settings!$B$21)</f>
        <v/>
      </c>
      <c r="W7" s="24">
        <f>IF(V7="","",IF(V7&gt;Settings!$B$22,"Too high","OK"))</f>
        <v/>
      </c>
      <c r="X7" s="24">
        <f>IF($A7="","",$C7&amp;"|"&amp;$F7&amp;"|"&amp;$E7&amp;"|"&amp;$D7)</f>
        <v/>
      </c>
    </row>
    <row r="8">
      <c r="B8" s="16" t="n"/>
      <c r="N8" s="17">
        <f>IF($A8="","",$K8*1000/(Settings!$B$14*($J8+273.15)))</f>
        <v/>
      </c>
      <c r="O8" s="18">
        <f>IF($A8="","",0.5*N8*G8^2)</f>
        <v/>
      </c>
      <c r="P8" s="17">
        <f>IF($A8="","",H8-I8)</f>
        <v/>
      </c>
      <c r="Q8" s="19">
        <f>IF(COUNTIF(Designs!$A:$A,$C8)=0,"",INDEX(Designs!$C:$C,MATCH($C8,Designs!$A:$A,0))/1000)</f>
        <v/>
      </c>
      <c r="R8" s="20">
        <f>IF(COUNTIF(Designs!$A:$A,$C8)=0,"",INDEX(Designs!$D:$D,MATCH($C8,Designs!$A:$A,0)))</f>
        <v/>
      </c>
      <c r="S8" s="17">
        <f>IF(OR($A8="",O8="",R8=""),"",IF(O8*R8=0,"",P8/(O8*R8)))</f>
        <v/>
      </c>
      <c r="T8" s="21">
        <f>IF($A8="","",Settings!$B$15*($J8+273.15)^1.5/($J8+273.15+Settings!$B$16))</f>
        <v/>
      </c>
      <c r="U8" s="22">
        <f>IF(OR($A8="",Q8=""),"",N8*G8*Q8/T8)</f>
        <v/>
      </c>
      <c r="V8" s="23">
        <f>IF(OR(L8="",Settings!$B$21=""),"",L8/10000/Settings!$B$21)</f>
        <v/>
      </c>
      <c r="W8" s="24">
        <f>IF(V8="","",IF(V8&gt;Settings!$B$22,"Too high","OK"))</f>
        <v/>
      </c>
      <c r="X8" s="24">
        <f>IF($A8="","",$C8&amp;"|"&amp;$F8&amp;"|"&amp;$E8&amp;"|"&amp;$D8)</f>
        <v/>
      </c>
    </row>
    <row r="9">
      <c r="B9" s="16" t="n"/>
      <c r="N9" s="17">
        <f>IF($A9="","",$K9*1000/(Settings!$B$14*($J9+273.15)))</f>
        <v/>
      </c>
      <c r="O9" s="18">
        <f>IF($A9="","",0.5*N9*G9^2)</f>
        <v/>
      </c>
      <c r="P9" s="17">
        <f>IF($A9="","",H9-I9)</f>
        <v/>
      </c>
      <c r="Q9" s="19">
        <f>IF(COUNTIF(Designs!$A:$A,$C9)=0,"",INDEX(Designs!$C:$C,MATCH($C9,Designs!$A:$A,0))/1000)</f>
        <v/>
      </c>
      <c r="R9" s="20">
        <f>IF(COUNTIF(Designs!$A:$A,$C9)=0,"",INDEX(Designs!$D:$D,MATCH($C9,Designs!$A:$A,0)))</f>
        <v/>
      </c>
      <c r="S9" s="17">
        <f>IF(OR($A9="",O9="",R9=""),"",IF(O9*R9=0,"",P9/(O9*R9)))</f>
        <v/>
      </c>
      <c r="T9" s="21">
        <f>IF($A9="","",Settings!$B$15*($J9+273.15)^1.5/($J9+273.15+Settings!$B$16))</f>
        <v/>
      </c>
      <c r="U9" s="22">
        <f>IF(OR($A9="",Q9=""),"",N9*G9*Q9/T9)</f>
        <v/>
      </c>
      <c r="V9" s="23">
        <f>IF(OR(L9="",Settings!$B$21=""),"",L9/10000/Settings!$B$21)</f>
        <v/>
      </c>
      <c r="W9" s="24">
        <f>IF(V9="","",IF(V9&gt;Settings!$B$22,"Too high","OK"))</f>
        <v/>
      </c>
      <c r="X9" s="24">
        <f>IF($A9="","",$C9&amp;"|"&amp;$F9&amp;"|"&amp;$E9&amp;"|"&amp;$D9)</f>
        <v/>
      </c>
    </row>
    <row r="10">
      <c r="B10" s="16" t="n"/>
      <c r="N10" s="17">
        <f>IF($A10="","",$K10*1000/(Settings!$B$14*($J10+273.15)))</f>
        <v/>
      </c>
      <c r="O10" s="18">
        <f>IF($A10="","",0.5*N10*G10^2)</f>
        <v/>
      </c>
      <c r="P10" s="17">
        <f>IF($A10="","",H10-I10)</f>
        <v/>
      </c>
      <c r="Q10" s="19">
        <f>IF(COUNTIF(Designs!$A:$A,$C10)=0,"",INDEX(Designs!$C:$C,MATCH($C10,Designs!$A:$A,0))/1000)</f>
        <v/>
      </c>
      <c r="R10" s="20">
        <f>IF(COUNTIF(Designs!$A:$A,$C10)=0,"",INDEX(Designs!$D:$D,MATCH($C10,Designs!$A:$A,0)))</f>
        <v/>
      </c>
      <c r="S10" s="17">
        <f>IF(OR($A10="",O10="",R10=""),"",IF(O10*R10=0,"",P10/(O10*R10)))</f>
        <v/>
      </c>
      <c r="T10" s="21">
        <f>IF($A10="","",Settings!$B$15*($J10+273.15)^1.5/($J10+273.15+Settings!$B$16))</f>
        <v/>
      </c>
      <c r="U10" s="22">
        <f>IF(OR($A10="",Q10=""),"",N10*G10*Q10/T10)</f>
        <v/>
      </c>
      <c r="V10" s="23">
        <f>IF(OR(L10="",Settings!$B$21=""),"",L10/10000/Settings!$B$21)</f>
        <v/>
      </c>
      <c r="W10" s="24">
        <f>IF(V10="","",IF(V10&gt;Settings!$B$22,"Too high","OK"))</f>
        <v/>
      </c>
      <c r="X10" s="24">
        <f>IF($A10="","",$C10&amp;"|"&amp;$F10&amp;"|"&amp;$E10&amp;"|"&amp;$D10)</f>
        <v/>
      </c>
    </row>
    <row r="11">
      <c r="B11" s="16" t="n"/>
      <c r="N11" s="17">
        <f>IF($A11="","",$K11*1000/(Settings!$B$14*($J11+273.15)))</f>
        <v/>
      </c>
      <c r="O11" s="18">
        <f>IF($A11="","",0.5*N11*G11^2)</f>
        <v/>
      </c>
      <c r="P11" s="17">
        <f>IF($A11="","",H11-I11)</f>
        <v/>
      </c>
      <c r="Q11" s="19">
        <f>IF(COUNTIF(Designs!$A:$A,$C11)=0,"",INDEX(Designs!$C:$C,MATCH($C11,Designs!$A:$A,0))/1000)</f>
        <v/>
      </c>
      <c r="R11" s="20">
        <f>IF(COUNTIF(Designs!$A:$A,$C11)=0,"",INDEX(Designs!$D:$D,MATCH($C11,Designs!$A:$A,0)))</f>
        <v/>
      </c>
      <c r="S11" s="17">
        <f>IF(OR($A11="",O11="",R11=""),"",IF(O11*R11=0,"",P11/(O11*R11)))</f>
        <v/>
      </c>
      <c r="T11" s="21">
        <f>IF($A11="","",Settings!$B$15*($J11+273.15)^1.5/($J11+273.15+Settings!$B$16))</f>
        <v/>
      </c>
      <c r="U11" s="22">
        <f>IF(OR($A11="",Q11=""),"",N11*G11*Q11/T11)</f>
        <v/>
      </c>
      <c r="V11" s="23">
        <f>IF(OR(L11="",Settings!$B$21=""),"",L11/10000/Settings!$B$21)</f>
        <v/>
      </c>
      <c r="W11" s="24">
        <f>IF(V11="","",IF(V11&gt;Settings!$B$22,"Too high","OK"))</f>
        <v/>
      </c>
      <c r="X11" s="24">
        <f>IF($A11="","",$C11&amp;"|"&amp;$F11&amp;"|"&amp;$E11&amp;"|"&amp;$D11)</f>
        <v/>
      </c>
    </row>
    <row r="12">
      <c r="B12" s="16" t="n"/>
      <c r="N12" s="17">
        <f>IF($A12="","",$K12*1000/(Settings!$B$14*($J12+273.15)))</f>
        <v/>
      </c>
      <c r="O12" s="18">
        <f>IF($A12="","",0.5*N12*G12^2)</f>
        <v/>
      </c>
      <c r="P12" s="17">
        <f>IF($A12="","",H12-I12)</f>
        <v/>
      </c>
      <c r="Q12" s="19">
        <f>IF(COUNTIF(Designs!$A:$A,$C12)=0,"",INDEX(Designs!$C:$C,MATCH($C12,Designs!$A:$A,0))/1000)</f>
        <v/>
      </c>
      <c r="R12" s="20">
        <f>IF(COUNTIF(Designs!$A:$A,$C12)=0,"",INDEX(Designs!$D:$D,MATCH($C12,Designs!$A:$A,0)))</f>
        <v/>
      </c>
      <c r="S12" s="17">
        <f>IF(OR($A12="",O12="",R12=""),"",IF(O12*R12=0,"",P12/(O12*R12)))</f>
        <v/>
      </c>
      <c r="T12" s="21">
        <f>IF($A12="","",Settings!$B$15*($J12+273.15)^1.5/($J12+273.15+Settings!$B$16))</f>
        <v/>
      </c>
      <c r="U12" s="22">
        <f>IF(OR($A12="",Q12=""),"",N12*G12*Q12/T12)</f>
        <v/>
      </c>
      <c r="V12" s="23">
        <f>IF(OR(L12="",Settings!$B$21=""),"",L12/10000/Settings!$B$21)</f>
        <v/>
      </c>
      <c r="W12" s="24">
        <f>IF(V12="","",IF(V12&gt;Settings!$B$22,"Too high","OK"))</f>
        <v/>
      </c>
      <c r="X12" s="24">
        <f>IF($A12="","",$C12&amp;"|"&amp;$F12&amp;"|"&amp;$E12&amp;"|"&amp;$D12)</f>
        <v/>
      </c>
    </row>
    <row r="13">
      <c r="B13" s="16" t="n"/>
      <c r="N13" s="17">
        <f>IF($A13="","",$K13*1000/(Settings!$B$14*($J13+273.15)))</f>
        <v/>
      </c>
      <c r="O13" s="18">
        <f>IF($A13="","",0.5*N13*G13^2)</f>
        <v/>
      </c>
      <c r="P13" s="17">
        <f>IF($A13="","",H13-I13)</f>
        <v/>
      </c>
      <c r="Q13" s="19">
        <f>IF(COUNTIF(Designs!$A:$A,$C13)=0,"",INDEX(Designs!$C:$C,MATCH($C13,Designs!$A:$A,0))/1000)</f>
        <v/>
      </c>
      <c r="R13" s="20">
        <f>IF(COUNTIF(Designs!$A:$A,$C13)=0,"",INDEX(Designs!$D:$D,MATCH($C13,Designs!$A:$A,0)))</f>
        <v/>
      </c>
      <c r="S13" s="17">
        <f>IF(OR($A13="",O13="",R13=""),"",IF(O13*R13=0,"",P13/(O13*R13)))</f>
        <v/>
      </c>
      <c r="T13" s="21">
        <f>IF($A13="","",Settings!$B$15*($J13+273.15)^1.5/($J13+273.15+Settings!$B$16))</f>
        <v/>
      </c>
      <c r="U13" s="22">
        <f>IF(OR($A13="",Q13=""),"",N13*G13*Q13/T13)</f>
        <v/>
      </c>
      <c r="V13" s="23">
        <f>IF(OR(L13="",Settings!$B$21=""),"",L13/10000/Settings!$B$21)</f>
        <v/>
      </c>
      <c r="W13" s="24">
        <f>IF(V13="","",IF(V13&gt;Settings!$B$22,"Too high","OK"))</f>
        <v/>
      </c>
      <c r="X13" s="24">
        <f>IF($A13="","",$C13&amp;"|"&amp;$F13&amp;"|"&amp;$E13&amp;"|"&amp;$D13)</f>
        <v/>
      </c>
    </row>
    <row r="14">
      <c r="B14" s="16" t="n"/>
      <c r="N14" s="17">
        <f>IF($A14="","",$K14*1000/(Settings!$B$14*($J14+273.15)))</f>
        <v/>
      </c>
      <c r="O14" s="18">
        <f>IF($A14="","",0.5*N14*G14^2)</f>
        <v/>
      </c>
      <c r="P14" s="17">
        <f>IF($A14="","",H14-I14)</f>
        <v/>
      </c>
      <c r="Q14" s="19">
        <f>IF(COUNTIF(Designs!$A:$A,$C14)=0,"",INDEX(Designs!$C:$C,MATCH($C14,Designs!$A:$A,0))/1000)</f>
        <v/>
      </c>
      <c r="R14" s="20">
        <f>IF(COUNTIF(Designs!$A:$A,$C14)=0,"",INDEX(Designs!$D:$D,MATCH($C14,Designs!$A:$A,0)))</f>
        <v/>
      </c>
      <c r="S14" s="17">
        <f>IF(OR($A14="",O14="",R14=""),"",IF(O14*R14=0,"",P14/(O14*R14)))</f>
        <v/>
      </c>
      <c r="T14" s="21">
        <f>IF($A14="","",Settings!$B$15*($J14+273.15)^1.5/($J14+273.15+Settings!$B$16))</f>
        <v/>
      </c>
      <c r="U14" s="22">
        <f>IF(OR($A14="",Q14=""),"",N14*G14*Q14/T14)</f>
        <v/>
      </c>
      <c r="V14" s="23">
        <f>IF(OR(L14="",Settings!$B$21=""),"",L14/10000/Settings!$B$21)</f>
        <v/>
      </c>
      <c r="W14" s="24">
        <f>IF(V14="","",IF(V14&gt;Settings!$B$22,"Too high","OK"))</f>
        <v/>
      </c>
      <c r="X14" s="24">
        <f>IF($A14="","",$C14&amp;"|"&amp;$F14&amp;"|"&amp;$E14&amp;"|"&amp;$D14)</f>
        <v/>
      </c>
    </row>
    <row r="15">
      <c r="B15" s="16" t="n"/>
      <c r="N15" s="17">
        <f>IF($A15="","",$K15*1000/(Settings!$B$14*($J15+273.15)))</f>
        <v/>
      </c>
      <c r="O15" s="18">
        <f>IF($A15="","",0.5*N15*G15^2)</f>
        <v/>
      </c>
      <c r="P15" s="17">
        <f>IF($A15="","",H15-I15)</f>
        <v/>
      </c>
      <c r="Q15" s="19">
        <f>IF(COUNTIF(Designs!$A:$A,$C15)=0,"",INDEX(Designs!$C:$C,MATCH($C15,Designs!$A:$A,0))/1000)</f>
        <v/>
      </c>
      <c r="R15" s="20">
        <f>IF(COUNTIF(Designs!$A:$A,$C15)=0,"",INDEX(Designs!$D:$D,MATCH($C15,Designs!$A:$A,0)))</f>
        <v/>
      </c>
      <c r="S15" s="17">
        <f>IF(OR($A15="",O15="",R15=""),"",IF(O15*R15=0,"",P15/(O15*R15)))</f>
        <v/>
      </c>
      <c r="T15" s="21">
        <f>IF($A15="","",Settings!$B$15*($J15+273.15)^1.5/($J15+273.15+Settings!$B$16))</f>
        <v/>
      </c>
      <c r="U15" s="22">
        <f>IF(OR($A15="",Q15=""),"",N15*G15*Q15/T15)</f>
        <v/>
      </c>
      <c r="V15" s="23">
        <f>IF(OR(L15="",Settings!$B$21=""),"",L15/10000/Settings!$B$21)</f>
        <v/>
      </c>
      <c r="W15" s="24">
        <f>IF(V15="","",IF(V15&gt;Settings!$B$22,"Too high","OK"))</f>
        <v/>
      </c>
      <c r="X15" s="24">
        <f>IF($A15="","",$C15&amp;"|"&amp;$F15&amp;"|"&amp;$E15&amp;"|"&amp;$D15)</f>
        <v/>
      </c>
    </row>
    <row r="16">
      <c r="B16" s="16" t="n"/>
      <c r="N16" s="17">
        <f>IF($A16="","",$K16*1000/(Settings!$B$14*($J16+273.15)))</f>
        <v/>
      </c>
      <c r="O16" s="18">
        <f>IF($A16="","",0.5*N16*G16^2)</f>
        <v/>
      </c>
      <c r="P16" s="17">
        <f>IF($A16="","",H16-I16)</f>
        <v/>
      </c>
      <c r="Q16" s="19">
        <f>IF(COUNTIF(Designs!$A:$A,$C16)=0,"",INDEX(Designs!$C:$C,MATCH($C16,Designs!$A:$A,0))/1000)</f>
        <v/>
      </c>
      <c r="R16" s="20">
        <f>IF(COUNTIF(Designs!$A:$A,$C16)=0,"",INDEX(Designs!$D:$D,MATCH($C16,Designs!$A:$A,0)))</f>
        <v/>
      </c>
      <c r="S16" s="17">
        <f>IF(OR($A16="",O16="",R16=""),"",IF(O16*R16=0,"",P16/(O16*R16)))</f>
        <v/>
      </c>
      <c r="T16" s="21">
        <f>IF($A16="","",Settings!$B$15*($J16+273.15)^1.5/($J16+273.15+Settings!$B$16))</f>
        <v/>
      </c>
      <c r="U16" s="22">
        <f>IF(OR($A16="",Q16=""),"",N16*G16*Q16/T16)</f>
        <v/>
      </c>
      <c r="V16" s="23">
        <f>IF(OR(L16="",Settings!$B$21=""),"",L16/10000/Settings!$B$21)</f>
        <v/>
      </c>
      <c r="W16" s="24">
        <f>IF(V16="","",IF(V16&gt;Settings!$B$22,"Too high","OK"))</f>
        <v/>
      </c>
      <c r="X16" s="24">
        <f>IF($A16="","",$C16&amp;"|"&amp;$F16&amp;"|"&amp;$E16&amp;"|"&amp;$D16)</f>
        <v/>
      </c>
    </row>
    <row r="17">
      <c r="B17" s="16" t="n"/>
      <c r="N17" s="17">
        <f>IF($A17="","",$K17*1000/(Settings!$B$14*($J17+273.15)))</f>
        <v/>
      </c>
      <c r="O17" s="18">
        <f>IF($A17="","",0.5*N17*G17^2)</f>
        <v/>
      </c>
      <c r="P17" s="17">
        <f>IF($A17="","",H17-I17)</f>
        <v/>
      </c>
      <c r="Q17" s="19">
        <f>IF(COUNTIF(Designs!$A:$A,$C17)=0,"",INDEX(Designs!$C:$C,MATCH($C17,Designs!$A:$A,0))/1000)</f>
        <v/>
      </c>
      <c r="R17" s="20">
        <f>IF(COUNTIF(Designs!$A:$A,$C17)=0,"",INDEX(Designs!$D:$D,MATCH($C17,Designs!$A:$A,0)))</f>
        <v/>
      </c>
      <c r="S17" s="17">
        <f>IF(OR($A17="",O17="",R17=""),"",IF(O17*R17=0,"",P17/(O17*R17)))</f>
        <v/>
      </c>
      <c r="T17" s="21">
        <f>IF($A17="","",Settings!$B$15*($J17+273.15)^1.5/($J17+273.15+Settings!$B$16))</f>
        <v/>
      </c>
      <c r="U17" s="22">
        <f>IF(OR($A17="",Q17=""),"",N17*G17*Q17/T17)</f>
        <v/>
      </c>
      <c r="V17" s="23">
        <f>IF(OR(L17="",Settings!$B$21=""),"",L17/10000/Settings!$B$21)</f>
        <v/>
      </c>
      <c r="W17" s="24">
        <f>IF(V17="","",IF(V17&gt;Settings!$B$22,"Too high","OK"))</f>
        <v/>
      </c>
      <c r="X17" s="24">
        <f>IF($A17="","",$C17&amp;"|"&amp;$F17&amp;"|"&amp;$E17&amp;"|"&amp;$D17)</f>
        <v/>
      </c>
    </row>
    <row r="18">
      <c r="B18" s="16" t="n"/>
      <c r="N18" s="17">
        <f>IF($A18="","",$K18*1000/(Settings!$B$14*($J18+273.15)))</f>
        <v/>
      </c>
      <c r="O18" s="18">
        <f>IF($A18="","",0.5*N18*G18^2)</f>
        <v/>
      </c>
      <c r="P18" s="17">
        <f>IF($A18="","",H18-I18)</f>
        <v/>
      </c>
      <c r="Q18" s="19">
        <f>IF(COUNTIF(Designs!$A:$A,$C18)=0,"",INDEX(Designs!$C:$C,MATCH($C18,Designs!$A:$A,0))/1000)</f>
        <v/>
      </c>
      <c r="R18" s="20">
        <f>IF(COUNTIF(Designs!$A:$A,$C18)=0,"",INDEX(Designs!$D:$D,MATCH($C18,Designs!$A:$A,0)))</f>
        <v/>
      </c>
      <c r="S18" s="17">
        <f>IF(OR($A18="",O18="",R18=""),"",IF(O18*R18=0,"",P18/(O18*R18)))</f>
        <v/>
      </c>
      <c r="T18" s="21">
        <f>IF($A18="","",Settings!$B$15*($J18+273.15)^1.5/($J18+273.15+Settings!$B$16))</f>
        <v/>
      </c>
      <c r="U18" s="22">
        <f>IF(OR($A18="",Q18=""),"",N18*G18*Q18/T18)</f>
        <v/>
      </c>
      <c r="V18" s="23">
        <f>IF(OR(L18="",Settings!$B$21=""),"",L18/10000/Settings!$B$21)</f>
        <v/>
      </c>
      <c r="W18" s="24">
        <f>IF(V18="","",IF(V18&gt;Settings!$B$22,"Too high","OK"))</f>
        <v/>
      </c>
      <c r="X18" s="24">
        <f>IF($A18="","",$C18&amp;"|"&amp;$F18&amp;"|"&amp;$E18&amp;"|"&amp;$D18)</f>
        <v/>
      </c>
    </row>
    <row r="19">
      <c r="B19" s="16" t="n"/>
      <c r="N19" s="17">
        <f>IF($A19="","",$K19*1000/(Settings!$B$14*($J19+273.15)))</f>
        <v/>
      </c>
      <c r="O19" s="18">
        <f>IF($A19="","",0.5*N19*G19^2)</f>
        <v/>
      </c>
      <c r="P19" s="17">
        <f>IF($A19="","",H19-I19)</f>
        <v/>
      </c>
      <c r="Q19" s="19">
        <f>IF(COUNTIF(Designs!$A:$A,$C19)=0,"",INDEX(Designs!$C:$C,MATCH($C19,Designs!$A:$A,0))/1000)</f>
        <v/>
      </c>
      <c r="R19" s="20">
        <f>IF(COUNTIF(Designs!$A:$A,$C19)=0,"",INDEX(Designs!$D:$D,MATCH($C19,Designs!$A:$A,0)))</f>
        <v/>
      </c>
      <c r="S19" s="17">
        <f>IF(OR($A19="",O19="",R19=""),"",IF(O19*R19=0,"",P19/(O19*R19)))</f>
        <v/>
      </c>
      <c r="T19" s="21">
        <f>IF($A19="","",Settings!$B$15*($J19+273.15)^1.5/($J19+273.15+Settings!$B$16))</f>
        <v/>
      </c>
      <c r="U19" s="22">
        <f>IF(OR($A19="",Q19=""),"",N19*G19*Q19/T19)</f>
        <v/>
      </c>
      <c r="V19" s="23">
        <f>IF(OR(L19="",Settings!$B$21=""),"",L19/10000/Settings!$B$21)</f>
        <v/>
      </c>
      <c r="W19" s="24">
        <f>IF(V19="","",IF(V19&gt;Settings!$B$22,"Too high","OK"))</f>
        <v/>
      </c>
      <c r="X19" s="24">
        <f>IF($A19="","",$C19&amp;"|"&amp;$F19&amp;"|"&amp;$E19&amp;"|"&amp;$D19)</f>
        <v/>
      </c>
    </row>
    <row r="20">
      <c r="B20" s="16" t="n"/>
      <c r="N20" s="17">
        <f>IF($A20="","",$K20*1000/(Settings!$B$14*($J20+273.15)))</f>
        <v/>
      </c>
      <c r="O20" s="18">
        <f>IF($A20="","",0.5*N20*G20^2)</f>
        <v/>
      </c>
      <c r="P20" s="17">
        <f>IF($A20="","",H20-I20)</f>
        <v/>
      </c>
      <c r="Q20" s="19">
        <f>IF(COUNTIF(Designs!$A:$A,$C20)=0,"",INDEX(Designs!$C:$C,MATCH($C20,Designs!$A:$A,0))/1000)</f>
        <v/>
      </c>
      <c r="R20" s="20">
        <f>IF(COUNTIF(Designs!$A:$A,$C20)=0,"",INDEX(Designs!$D:$D,MATCH($C20,Designs!$A:$A,0)))</f>
        <v/>
      </c>
      <c r="S20" s="17">
        <f>IF(OR($A20="",O20="",R20=""),"",IF(O20*R20=0,"",P20/(O20*R20)))</f>
        <v/>
      </c>
      <c r="T20" s="21">
        <f>IF($A20="","",Settings!$B$15*($J20+273.15)^1.5/($J20+273.15+Settings!$B$16))</f>
        <v/>
      </c>
      <c r="U20" s="22">
        <f>IF(OR($A20="",Q20=""),"",N20*G20*Q20/T20)</f>
        <v/>
      </c>
      <c r="V20" s="23">
        <f>IF(OR(L20="",Settings!$B$21=""),"",L20/10000/Settings!$B$21)</f>
        <v/>
      </c>
      <c r="W20" s="24">
        <f>IF(V20="","",IF(V20&gt;Settings!$B$22,"Too high","OK"))</f>
        <v/>
      </c>
      <c r="X20" s="24">
        <f>IF($A20="","",$C20&amp;"|"&amp;$F20&amp;"|"&amp;$E20&amp;"|"&amp;$D20)</f>
        <v/>
      </c>
    </row>
    <row r="21">
      <c r="B21" s="16" t="n"/>
      <c r="N21" s="17">
        <f>IF($A21="","",$K21*1000/(Settings!$B$14*($J21+273.15)))</f>
        <v/>
      </c>
      <c r="O21" s="18">
        <f>IF($A21="","",0.5*N21*G21^2)</f>
        <v/>
      </c>
      <c r="P21" s="17">
        <f>IF($A21="","",H21-I21)</f>
        <v/>
      </c>
      <c r="Q21" s="19">
        <f>IF(COUNTIF(Designs!$A:$A,$C21)=0,"",INDEX(Designs!$C:$C,MATCH($C21,Designs!$A:$A,0))/1000)</f>
        <v/>
      </c>
      <c r="R21" s="20">
        <f>IF(COUNTIF(Designs!$A:$A,$C21)=0,"",INDEX(Designs!$D:$D,MATCH($C21,Designs!$A:$A,0)))</f>
        <v/>
      </c>
      <c r="S21" s="17">
        <f>IF(OR($A21="",O21="",R21=""),"",IF(O21*R21=0,"",P21/(O21*R21)))</f>
        <v/>
      </c>
      <c r="T21" s="21">
        <f>IF($A21="","",Settings!$B$15*($J21+273.15)^1.5/($J21+273.15+Settings!$B$16))</f>
        <v/>
      </c>
      <c r="U21" s="22">
        <f>IF(OR($A21="",Q21=""),"",N21*G21*Q21/T21)</f>
        <v/>
      </c>
      <c r="V21" s="23">
        <f>IF(OR(L21="",Settings!$B$21=""),"",L21/10000/Settings!$B$21)</f>
        <v/>
      </c>
      <c r="W21" s="24">
        <f>IF(V21="","",IF(V21&gt;Settings!$B$22,"Too high","OK"))</f>
        <v/>
      </c>
      <c r="X21" s="24">
        <f>IF($A21="","",$C21&amp;"|"&amp;$F21&amp;"|"&amp;$E21&amp;"|"&amp;$D21)</f>
        <v/>
      </c>
    </row>
    <row r="22">
      <c r="B22" s="16" t="n"/>
      <c r="N22" s="17">
        <f>IF($A22="","",$K22*1000/(Settings!$B$14*($J22+273.15)))</f>
        <v/>
      </c>
      <c r="O22" s="18">
        <f>IF($A22="","",0.5*N22*G22^2)</f>
        <v/>
      </c>
      <c r="P22" s="17">
        <f>IF($A22="","",H22-I22)</f>
        <v/>
      </c>
      <c r="Q22" s="19">
        <f>IF(COUNTIF(Designs!$A:$A,$C22)=0,"",INDEX(Designs!$C:$C,MATCH($C22,Designs!$A:$A,0))/1000)</f>
        <v/>
      </c>
      <c r="R22" s="20">
        <f>IF(COUNTIF(Designs!$A:$A,$C22)=0,"",INDEX(Designs!$D:$D,MATCH($C22,Designs!$A:$A,0)))</f>
        <v/>
      </c>
      <c r="S22" s="17">
        <f>IF(OR($A22="",O22="",R22=""),"",IF(O22*R22=0,"",P22/(O22*R22)))</f>
        <v/>
      </c>
      <c r="T22" s="21">
        <f>IF($A22="","",Settings!$B$15*($J22+273.15)^1.5/($J22+273.15+Settings!$B$16))</f>
        <v/>
      </c>
      <c r="U22" s="22">
        <f>IF(OR($A22="",Q22=""),"",N22*G22*Q22/T22)</f>
        <v/>
      </c>
      <c r="V22" s="23">
        <f>IF(OR(L22="",Settings!$B$21=""),"",L22/10000/Settings!$B$21)</f>
        <v/>
      </c>
      <c r="W22" s="24">
        <f>IF(V22="","",IF(V22&gt;Settings!$B$22,"Too high","OK"))</f>
        <v/>
      </c>
      <c r="X22" s="24">
        <f>IF($A22="","",$C22&amp;"|"&amp;$F22&amp;"|"&amp;$E22&amp;"|"&amp;$D22)</f>
        <v/>
      </c>
    </row>
    <row r="23">
      <c r="B23" s="16" t="n"/>
      <c r="N23" s="17">
        <f>IF($A23="","",$K23*1000/(Settings!$B$14*($J23+273.15)))</f>
        <v/>
      </c>
      <c r="O23" s="18">
        <f>IF($A23="","",0.5*N23*G23^2)</f>
        <v/>
      </c>
      <c r="P23" s="17">
        <f>IF($A23="","",H23-I23)</f>
        <v/>
      </c>
      <c r="Q23" s="19">
        <f>IF(COUNTIF(Designs!$A:$A,$C23)=0,"",INDEX(Designs!$C:$C,MATCH($C23,Designs!$A:$A,0))/1000)</f>
        <v/>
      </c>
      <c r="R23" s="20">
        <f>IF(COUNTIF(Designs!$A:$A,$C23)=0,"",INDEX(Designs!$D:$D,MATCH($C23,Designs!$A:$A,0)))</f>
        <v/>
      </c>
      <c r="S23" s="17">
        <f>IF(OR($A23="",O23="",R23=""),"",IF(O23*R23=0,"",P23/(O23*R23)))</f>
        <v/>
      </c>
      <c r="T23" s="21">
        <f>IF($A23="","",Settings!$B$15*($J23+273.15)^1.5/($J23+273.15+Settings!$B$16))</f>
        <v/>
      </c>
      <c r="U23" s="22">
        <f>IF(OR($A23="",Q23=""),"",N23*G23*Q23/T23)</f>
        <v/>
      </c>
      <c r="V23" s="23">
        <f>IF(OR(L23="",Settings!$B$21=""),"",L23/10000/Settings!$B$21)</f>
        <v/>
      </c>
      <c r="W23" s="24">
        <f>IF(V23="","",IF(V23&gt;Settings!$B$22,"Too high","OK"))</f>
        <v/>
      </c>
      <c r="X23" s="24">
        <f>IF($A23="","",$C23&amp;"|"&amp;$F23&amp;"|"&amp;$E23&amp;"|"&amp;$D23)</f>
        <v/>
      </c>
    </row>
    <row r="24">
      <c r="B24" s="16" t="n"/>
      <c r="N24" s="17">
        <f>IF($A24="","",$K24*1000/(Settings!$B$14*($J24+273.15)))</f>
        <v/>
      </c>
      <c r="O24" s="18">
        <f>IF($A24="","",0.5*N24*G24^2)</f>
        <v/>
      </c>
      <c r="P24" s="17">
        <f>IF($A24="","",H24-I24)</f>
        <v/>
      </c>
      <c r="Q24" s="19">
        <f>IF(COUNTIF(Designs!$A:$A,$C24)=0,"",INDEX(Designs!$C:$C,MATCH($C24,Designs!$A:$A,0))/1000)</f>
        <v/>
      </c>
      <c r="R24" s="20">
        <f>IF(COUNTIF(Designs!$A:$A,$C24)=0,"",INDEX(Designs!$D:$D,MATCH($C24,Designs!$A:$A,0)))</f>
        <v/>
      </c>
      <c r="S24" s="17">
        <f>IF(OR($A24="",O24="",R24=""),"",IF(O24*R24=0,"",P24/(O24*R24)))</f>
        <v/>
      </c>
      <c r="T24" s="21">
        <f>IF($A24="","",Settings!$B$15*($J24+273.15)^1.5/($J24+273.15+Settings!$B$16))</f>
        <v/>
      </c>
      <c r="U24" s="22">
        <f>IF(OR($A24="",Q24=""),"",N24*G24*Q24/T24)</f>
        <v/>
      </c>
      <c r="V24" s="23">
        <f>IF(OR(L24="",Settings!$B$21=""),"",L24/10000/Settings!$B$21)</f>
        <v/>
      </c>
      <c r="W24" s="24">
        <f>IF(V24="","",IF(V24&gt;Settings!$B$22,"Too high","OK"))</f>
        <v/>
      </c>
      <c r="X24" s="24">
        <f>IF($A24="","",$C24&amp;"|"&amp;$F24&amp;"|"&amp;$E24&amp;"|"&amp;$D24)</f>
        <v/>
      </c>
    </row>
    <row r="25">
      <c r="B25" s="16" t="n"/>
      <c r="N25" s="17">
        <f>IF($A25="","",$K25*1000/(Settings!$B$14*($J25+273.15)))</f>
        <v/>
      </c>
      <c r="O25" s="18">
        <f>IF($A25="","",0.5*N25*G25^2)</f>
        <v/>
      </c>
      <c r="P25" s="17">
        <f>IF($A25="","",H25-I25)</f>
        <v/>
      </c>
      <c r="Q25" s="19">
        <f>IF(COUNTIF(Designs!$A:$A,$C25)=0,"",INDEX(Designs!$C:$C,MATCH($C25,Designs!$A:$A,0))/1000)</f>
        <v/>
      </c>
      <c r="R25" s="20">
        <f>IF(COUNTIF(Designs!$A:$A,$C25)=0,"",INDEX(Designs!$D:$D,MATCH($C25,Designs!$A:$A,0)))</f>
        <v/>
      </c>
      <c r="S25" s="17">
        <f>IF(OR($A25="",O25="",R25=""),"",IF(O25*R25=0,"",P25/(O25*R25)))</f>
        <v/>
      </c>
      <c r="T25" s="21">
        <f>IF($A25="","",Settings!$B$15*($J25+273.15)^1.5/($J25+273.15+Settings!$B$16))</f>
        <v/>
      </c>
      <c r="U25" s="22">
        <f>IF(OR($A25="",Q25=""),"",N25*G25*Q25/T25)</f>
        <v/>
      </c>
      <c r="V25" s="23">
        <f>IF(OR(L25="",Settings!$B$21=""),"",L25/10000/Settings!$B$21)</f>
        <v/>
      </c>
      <c r="W25" s="24">
        <f>IF(V25="","",IF(V25&gt;Settings!$B$22,"Too high","OK"))</f>
        <v/>
      </c>
      <c r="X25" s="24">
        <f>IF($A25="","",$C25&amp;"|"&amp;$F25&amp;"|"&amp;$E25&amp;"|"&amp;$D25)</f>
        <v/>
      </c>
    </row>
    <row r="26">
      <c r="B26" s="16" t="n"/>
      <c r="N26" s="17">
        <f>IF($A26="","",$K26*1000/(Settings!$B$14*($J26+273.15)))</f>
        <v/>
      </c>
      <c r="O26" s="18">
        <f>IF($A26="","",0.5*N26*G26^2)</f>
        <v/>
      </c>
      <c r="P26" s="17">
        <f>IF($A26="","",H26-I26)</f>
        <v/>
      </c>
      <c r="Q26" s="19">
        <f>IF(COUNTIF(Designs!$A:$A,$C26)=0,"",INDEX(Designs!$C:$C,MATCH($C26,Designs!$A:$A,0))/1000)</f>
        <v/>
      </c>
      <c r="R26" s="20">
        <f>IF(COUNTIF(Designs!$A:$A,$C26)=0,"",INDEX(Designs!$D:$D,MATCH($C26,Designs!$A:$A,0)))</f>
        <v/>
      </c>
      <c r="S26" s="17">
        <f>IF(OR($A26="",O26="",R26=""),"",IF(O26*R26=0,"",P26/(O26*R26)))</f>
        <v/>
      </c>
      <c r="T26" s="21">
        <f>IF($A26="","",Settings!$B$15*($J26+273.15)^1.5/($J26+273.15+Settings!$B$16))</f>
        <v/>
      </c>
      <c r="U26" s="22">
        <f>IF(OR($A26="",Q26=""),"",N26*G26*Q26/T26)</f>
        <v/>
      </c>
      <c r="V26" s="23">
        <f>IF(OR(L26="",Settings!$B$21=""),"",L26/10000/Settings!$B$21)</f>
        <v/>
      </c>
      <c r="W26" s="24">
        <f>IF(V26="","",IF(V26&gt;Settings!$B$22,"Too high","OK"))</f>
        <v/>
      </c>
      <c r="X26" s="24">
        <f>IF($A26="","",$C26&amp;"|"&amp;$F26&amp;"|"&amp;$E26&amp;"|"&amp;$D26)</f>
        <v/>
      </c>
    </row>
    <row r="27">
      <c r="B27" s="16" t="n"/>
      <c r="N27" s="17">
        <f>IF($A27="","",$K27*1000/(Settings!$B$14*($J27+273.15)))</f>
        <v/>
      </c>
      <c r="O27" s="18">
        <f>IF($A27="","",0.5*N27*G27^2)</f>
        <v/>
      </c>
      <c r="P27" s="17">
        <f>IF($A27="","",H27-I27)</f>
        <v/>
      </c>
      <c r="Q27" s="19">
        <f>IF(COUNTIF(Designs!$A:$A,$C27)=0,"",INDEX(Designs!$C:$C,MATCH($C27,Designs!$A:$A,0))/1000)</f>
        <v/>
      </c>
      <c r="R27" s="20">
        <f>IF(COUNTIF(Designs!$A:$A,$C27)=0,"",INDEX(Designs!$D:$D,MATCH($C27,Designs!$A:$A,0)))</f>
        <v/>
      </c>
      <c r="S27" s="17">
        <f>IF(OR($A27="",O27="",R27=""),"",IF(O27*R27=0,"",P27/(O27*R27)))</f>
        <v/>
      </c>
      <c r="T27" s="21">
        <f>IF($A27="","",Settings!$B$15*($J27+273.15)^1.5/($J27+273.15+Settings!$B$16))</f>
        <v/>
      </c>
      <c r="U27" s="22">
        <f>IF(OR($A27="",Q27=""),"",N27*G27*Q27/T27)</f>
        <v/>
      </c>
      <c r="V27" s="23">
        <f>IF(OR(L27="",Settings!$B$21=""),"",L27/10000/Settings!$B$21)</f>
        <v/>
      </c>
      <c r="W27" s="24">
        <f>IF(V27="","",IF(V27&gt;Settings!$B$22,"Too high","OK"))</f>
        <v/>
      </c>
      <c r="X27" s="24">
        <f>IF($A27="","",$C27&amp;"|"&amp;$F27&amp;"|"&amp;$E27&amp;"|"&amp;$D27)</f>
        <v/>
      </c>
    </row>
    <row r="28">
      <c r="B28" s="16" t="n"/>
      <c r="N28" s="17">
        <f>IF($A28="","",$K28*1000/(Settings!$B$14*($J28+273.15)))</f>
        <v/>
      </c>
      <c r="O28" s="18">
        <f>IF($A28="","",0.5*N28*G28^2)</f>
        <v/>
      </c>
      <c r="P28" s="17">
        <f>IF($A28="","",H28-I28)</f>
        <v/>
      </c>
      <c r="Q28" s="19">
        <f>IF(COUNTIF(Designs!$A:$A,$C28)=0,"",INDEX(Designs!$C:$C,MATCH($C28,Designs!$A:$A,0))/1000)</f>
        <v/>
      </c>
      <c r="R28" s="20">
        <f>IF(COUNTIF(Designs!$A:$A,$C28)=0,"",INDEX(Designs!$D:$D,MATCH($C28,Designs!$A:$A,0)))</f>
        <v/>
      </c>
      <c r="S28" s="17">
        <f>IF(OR($A28="",O28="",R28=""),"",IF(O28*R28=0,"",P28/(O28*R28)))</f>
        <v/>
      </c>
      <c r="T28" s="21">
        <f>IF($A28="","",Settings!$B$15*($J28+273.15)^1.5/($J28+273.15+Settings!$B$16))</f>
        <v/>
      </c>
      <c r="U28" s="22">
        <f>IF(OR($A28="",Q28=""),"",N28*G28*Q28/T28)</f>
        <v/>
      </c>
      <c r="V28" s="23">
        <f>IF(OR(L28="",Settings!$B$21=""),"",L28/10000/Settings!$B$21)</f>
        <v/>
      </c>
      <c r="W28" s="24">
        <f>IF(V28="","",IF(V28&gt;Settings!$B$22,"Too high","OK"))</f>
        <v/>
      </c>
      <c r="X28" s="24">
        <f>IF($A28="","",$C28&amp;"|"&amp;$F28&amp;"|"&amp;$E28&amp;"|"&amp;$D28)</f>
        <v/>
      </c>
    </row>
    <row r="29">
      <c r="B29" s="16" t="n"/>
      <c r="N29" s="17">
        <f>IF($A29="","",$K29*1000/(Settings!$B$14*($J29+273.15)))</f>
        <v/>
      </c>
      <c r="O29" s="18">
        <f>IF($A29="","",0.5*N29*G29^2)</f>
        <v/>
      </c>
      <c r="P29" s="17">
        <f>IF($A29="","",H29-I29)</f>
        <v/>
      </c>
      <c r="Q29" s="19">
        <f>IF(COUNTIF(Designs!$A:$A,$C29)=0,"",INDEX(Designs!$C:$C,MATCH($C29,Designs!$A:$A,0))/1000)</f>
        <v/>
      </c>
      <c r="R29" s="20">
        <f>IF(COUNTIF(Designs!$A:$A,$C29)=0,"",INDEX(Designs!$D:$D,MATCH($C29,Designs!$A:$A,0)))</f>
        <v/>
      </c>
      <c r="S29" s="17">
        <f>IF(OR($A29="",O29="",R29=""),"",IF(O29*R29=0,"",P29/(O29*R29)))</f>
        <v/>
      </c>
      <c r="T29" s="21">
        <f>IF($A29="","",Settings!$B$15*($J29+273.15)^1.5/($J29+273.15+Settings!$B$16))</f>
        <v/>
      </c>
      <c r="U29" s="22">
        <f>IF(OR($A29="",Q29=""),"",N29*G29*Q29/T29)</f>
        <v/>
      </c>
      <c r="V29" s="23">
        <f>IF(OR(L29="",Settings!$B$21=""),"",L29/10000/Settings!$B$21)</f>
        <v/>
      </c>
      <c r="W29" s="24">
        <f>IF(V29="","",IF(V29&gt;Settings!$B$22,"Too high","OK"))</f>
        <v/>
      </c>
      <c r="X29" s="24">
        <f>IF($A29="","",$C29&amp;"|"&amp;$F29&amp;"|"&amp;$E29&amp;"|"&amp;$D29)</f>
        <v/>
      </c>
    </row>
    <row r="30">
      <c r="B30" s="16" t="n"/>
      <c r="N30" s="17">
        <f>IF($A30="","",$K30*1000/(Settings!$B$14*($J30+273.15)))</f>
        <v/>
      </c>
      <c r="O30" s="18">
        <f>IF($A30="","",0.5*N30*G30^2)</f>
        <v/>
      </c>
      <c r="P30" s="17">
        <f>IF($A30="","",H30-I30)</f>
        <v/>
      </c>
      <c r="Q30" s="19">
        <f>IF(COUNTIF(Designs!$A:$A,$C30)=0,"",INDEX(Designs!$C:$C,MATCH($C30,Designs!$A:$A,0))/1000)</f>
        <v/>
      </c>
      <c r="R30" s="20">
        <f>IF(COUNTIF(Designs!$A:$A,$C30)=0,"",INDEX(Designs!$D:$D,MATCH($C30,Designs!$A:$A,0)))</f>
        <v/>
      </c>
      <c r="S30" s="17">
        <f>IF(OR($A30="",O30="",R30=""),"",IF(O30*R30=0,"",P30/(O30*R30)))</f>
        <v/>
      </c>
      <c r="T30" s="21">
        <f>IF($A30="","",Settings!$B$15*($J30+273.15)^1.5/($J30+273.15+Settings!$B$16))</f>
        <v/>
      </c>
      <c r="U30" s="22">
        <f>IF(OR($A30="",Q30=""),"",N30*G30*Q30/T30)</f>
        <v/>
      </c>
      <c r="V30" s="23">
        <f>IF(OR(L30="",Settings!$B$21=""),"",L30/10000/Settings!$B$21)</f>
        <v/>
      </c>
      <c r="W30" s="24">
        <f>IF(V30="","",IF(V30&gt;Settings!$B$22,"Too high","OK"))</f>
        <v/>
      </c>
      <c r="X30" s="24">
        <f>IF($A30="","",$C30&amp;"|"&amp;$F30&amp;"|"&amp;$E30&amp;"|"&amp;$D30)</f>
        <v/>
      </c>
    </row>
    <row r="31">
      <c r="B31" s="16" t="n"/>
      <c r="N31" s="17">
        <f>IF($A31="","",$K31*1000/(Settings!$B$14*($J31+273.15)))</f>
        <v/>
      </c>
      <c r="O31" s="18">
        <f>IF($A31="","",0.5*N31*G31^2)</f>
        <v/>
      </c>
      <c r="P31" s="17">
        <f>IF($A31="","",H31-I31)</f>
        <v/>
      </c>
      <c r="Q31" s="19">
        <f>IF(COUNTIF(Designs!$A:$A,$C31)=0,"",INDEX(Designs!$C:$C,MATCH($C31,Designs!$A:$A,0))/1000)</f>
        <v/>
      </c>
      <c r="R31" s="20">
        <f>IF(COUNTIF(Designs!$A:$A,$C31)=0,"",INDEX(Designs!$D:$D,MATCH($C31,Designs!$A:$A,0)))</f>
        <v/>
      </c>
      <c r="S31" s="17">
        <f>IF(OR($A31="",O31="",R31=""),"",IF(O31*R31=0,"",P31/(O31*R31)))</f>
        <v/>
      </c>
      <c r="T31" s="21">
        <f>IF($A31="","",Settings!$B$15*($J31+273.15)^1.5/($J31+273.15+Settings!$B$16))</f>
        <v/>
      </c>
      <c r="U31" s="22">
        <f>IF(OR($A31="",Q31=""),"",N31*G31*Q31/T31)</f>
        <v/>
      </c>
      <c r="V31" s="23">
        <f>IF(OR(L31="",Settings!$B$21=""),"",L31/10000/Settings!$B$21)</f>
        <v/>
      </c>
      <c r="W31" s="24">
        <f>IF(V31="","",IF(V31&gt;Settings!$B$22,"Too high","OK"))</f>
        <v/>
      </c>
      <c r="X31" s="24">
        <f>IF($A31="","",$C31&amp;"|"&amp;$F31&amp;"|"&amp;$E31&amp;"|"&amp;$D31)</f>
        <v/>
      </c>
    </row>
    <row r="32">
      <c r="B32" s="16" t="n"/>
      <c r="N32" s="17">
        <f>IF($A32="","",$K32*1000/(Settings!$B$14*($J32+273.15)))</f>
        <v/>
      </c>
      <c r="O32" s="18">
        <f>IF($A32="","",0.5*N32*G32^2)</f>
        <v/>
      </c>
      <c r="P32" s="17">
        <f>IF($A32="","",H32-I32)</f>
        <v/>
      </c>
      <c r="Q32" s="19">
        <f>IF(COUNTIF(Designs!$A:$A,$C32)=0,"",INDEX(Designs!$C:$C,MATCH($C32,Designs!$A:$A,0))/1000)</f>
        <v/>
      </c>
      <c r="R32" s="20">
        <f>IF(COUNTIF(Designs!$A:$A,$C32)=0,"",INDEX(Designs!$D:$D,MATCH($C32,Designs!$A:$A,0)))</f>
        <v/>
      </c>
      <c r="S32" s="17">
        <f>IF(OR($A32="",O32="",R32=""),"",IF(O32*R32=0,"",P32/(O32*R32)))</f>
        <v/>
      </c>
      <c r="T32" s="21">
        <f>IF($A32="","",Settings!$B$15*($J32+273.15)^1.5/($J32+273.15+Settings!$B$16))</f>
        <v/>
      </c>
      <c r="U32" s="22">
        <f>IF(OR($A32="",Q32=""),"",N32*G32*Q32/T32)</f>
        <v/>
      </c>
      <c r="V32" s="23">
        <f>IF(OR(L32="",Settings!$B$21=""),"",L32/10000/Settings!$B$21)</f>
        <v/>
      </c>
      <c r="W32" s="24">
        <f>IF(V32="","",IF(V32&gt;Settings!$B$22,"Too high","OK"))</f>
        <v/>
      </c>
      <c r="X32" s="24">
        <f>IF($A32="","",$C32&amp;"|"&amp;$F32&amp;"|"&amp;$E32&amp;"|"&amp;$D32)</f>
        <v/>
      </c>
    </row>
    <row r="33">
      <c r="B33" s="16" t="n"/>
      <c r="N33" s="17">
        <f>IF($A33="","",$K33*1000/(Settings!$B$14*($J33+273.15)))</f>
        <v/>
      </c>
      <c r="O33" s="18">
        <f>IF($A33="","",0.5*N33*G33^2)</f>
        <v/>
      </c>
      <c r="P33" s="17">
        <f>IF($A33="","",H33-I33)</f>
        <v/>
      </c>
      <c r="Q33" s="19">
        <f>IF(COUNTIF(Designs!$A:$A,$C33)=0,"",INDEX(Designs!$C:$C,MATCH($C33,Designs!$A:$A,0))/1000)</f>
        <v/>
      </c>
      <c r="R33" s="20">
        <f>IF(COUNTIF(Designs!$A:$A,$C33)=0,"",INDEX(Designs!$D:$D,MATCH($C33,Designs!$A:$A,0)))</f>
        <v/>
      </c>
      <c r="S33" s="17">
        <f>IF(OR($A33="",O33="",R33=""),"",IF(O33*R33=0,"",P33/(O33*R33)))</f>
        <v/>
      </c>
      <c r="T33" s="21">
        <f>IF($A33="","",Settings!$B$15*($J33+273.15)^1.5/($J33+273.15+Settings!$B$16))</f>
        <v/>
      </c>
      <c r="U33" s="22">
        <f>IF(OR($A33="",Q33=""),"",N33*G33*Q33/T33)</f>
        <v/>
      </c>
      <c r="V33" s="23">
        <f>IF(OR(L33="",Settings!$B$21=""),"",L33/10000/Settings!$B$21)</f>
        <v/>
      </c>
      <c r="W33" s="24">
        <f>IF(V33="","",IF(V33&gt;Settings!$B$22,"Too high","OK"))</f>
        <v/>
      </c>
      <c r="X33" s="24">
        <f>IF($A33="","",$C33&amp;"|"&amp;$F33&amp;"|"&amp;$E33&amp;"|"&amp;$D33)</f>
        <v/>
      </c>
    </row>
    <row r="34">
      <c r="B34" s="16" t="n"/>
      <c r="N34" s="17">
        <f>IF($A34="","",$K34*1000/(Settings!$B$14*($J34+273.15)))</f>
        <v/>
      </c>
      <c r="O34" s="18">
        <f>IF($A34="","",0.5*N34*G34^2)</f>
        <v/>
      </c>
      <c r="P34" s="17">
        <f>IF($A34="","",H34-I34)</f>
        <v/>
      </c>
      <c r="Q34" s="19">
        <f>IF(COUNTIF(Designs!$A:$A,$C34)=0,"",INDEX(Designs!$C:$C,MATCH($C34,Designs!$A:$A,0))/1000)</f>
        <v/>
      </c>
      <c r="R34" s="20">
        <f>IF(COUNTIF(Designs!$A:$A,$C34)=0,"",INDEX(Designs!$D:$D,MATCH($C34,Designs!$A:$A,0)))</f>
        <v/>
      </c>
      <c r="S34" s="17">
        <f>IF(OR($A34="",O34="",R34=""),"",IF(O34*R34=0,"",P34/(O34*R34)))</f>
        <v/>
      </c>
      <c r="T34" s="21">
        <f>IF($A34="","",Settings!$B$15*($J34+273.15)^1.5/($J34+273.15+Settings!$B$16))</f>
        <v/>
      </c>
      <c r="U34" s="22">
        <f>IF(OR($A34="",Q34=""),"",N34*G34*Q34/T34)</f>
        <v/>
      </c>
      <c r="V34" s="23">
        <f>IF(OR(L34="",Settings!$B$21=""),"",L34/10000/Settings!$B$21)</f>
        <v/>
      </c>
      <c r="W34" s="24">
        <f>IF(V34="","",IF(V34&gt;Settings!$B$22,"Too high","OK"))</f>
        <v/>
      </c>
      <c r="X34" s="24">
        <f>IF($A34="","",$C34&amp;"|"&amp;$F34&amp;"|"&amp;$E34&amp;"|"&amp;$D34)</f>
        <v/>
      </c>
    </row>
    <row r="35">
      <c r="B35" s="16" t="n"/>
      <c r="N35" s="17">
        <f>IF($A35="","",$K35*1000/(Settings!$B$14*($J35+273.15)))</f>
        <v/>
      </c>
      <c r="O35" s="18">
        <f>IF($A35="","",0.5*N35*G35^2)</f>
        <v/>
      </c>
      <c r="P35" s="17">
        <f>IF($A35="","",H35-I35)</f>
        <v/>
      </c>
      <c r="Q35" s="19">
        <f>IF(COUNTIF(Designs!$A:$A,$C35)=0,"",INDEX(Designs!$C:$C,MATCH($C35,Designs!$A:$A,0))/1000)</f>
        <v/>
      </c>
      <c r="R35" s="20">
        <f>IF(COUNTIF(Designs!$A:$A,$C35)=0,"",INDEX(Designs!$D:$D,MATCH($C35,Designs!$A:$A,0)))</f>
        <v/>
      </c>
      <c r="S35" s="17">
        <f>IF(OR($A35="",O35="",R35=""),"",IF(O35*R35=0,"",P35/(O35*R35)))</f>
        <v/>
      </c>
      <c r="T35" s="21">
        <f>IF($A35="","",Settings!$B$15*($J35+273.15)^1.5/($J35+273.15+Settings!$B$16))</f>
        <v/>
      </c>
      <c r="U35" s="22">
        <f>IF(OR($A35="",Q35=""),"",N35*G35*Q35/T35)</f>
        <v/>
      </c>
      <c r="V35" s="23">
        <f>IF(OR(L35="",Settings!$B$21=""),"",L35/10000/Settings!$B$21)</f>
        <v/>
      </c>
      <c r="W35" s="24">
        <f>IF(V35="","",IF(V35&gt;Settings!$B$22,"Too high","OK"))</f>
        <v/>
      </c>
      <c r="X35" s="24">
        <f>IF($A35="","",$C35&amp;"|"&amp;$F35&amp;"|"&amp;$E35&amp;"|"&amp;$D35)</f>
        <v/>
      </c>
    </row>
    <row r="36">
      <c r="B36" s="16" t="n"/>
      <c r="N36" s="17">
        <f>IF($A36="","",$K36*1000/(Settings!$B$14*($J36+273.15)))</f>
        <v/>
      </c>
      <c r="O36" s="18">
        <f>IF($A36="","",0.5*N36*G36^2)</f>
        <v/>
      </c>
      <c r="P36" s="17">
        <f>IF($A36="","",H36-I36)</f>
        <v/>
      </c>
      <c r="Q36" s="19">
        <f>IF(COUNTIF(Designs!$A:$A,$C36)=0,"",INDEX(Designs!$C:$C,MATCH($C36,Designs!$A:$A,0))/1000)</f>
        <v/>
      </c>
      <c r="R36" s="20">
        <f>IF(COUNTIF(Designs!$A:$A,$C36)=0,"",INDEX(Designs!$D:$D,MATCH($C36,Designs!$A:$A,0)))</f>
        <v/>
      </c>
      <c r="S36" s="17">
        <f>IF(OR($A36="",O36="",R36=""),"",IF(O36*R36=0,"",P36/(O36*R36)))</f>
        <v/>
      </c>
      <c r="T36" s="21">
        <f>IF($A36="","",Settings!$B$15*($J36+273.15)^1.5/($J36+273.15+Settings!$B$16))</f>
        <v/>
      </c>
      <c r="U36" s="22">
        <f>IF(OR($A36="",Q36=""),"",N36*G36*Q36/T36)</f>
        <v/>
      </c>
      <c r="V36" s="23">
        <f>IF(OR(L36="",Settings!$B$21=""),"",L36/10000/Settings!$B$21)</f>
        <v/>
      </c>
      <c r="W36" s="24">
        <f>IF(V36="","",IF(V36&gt;Settings!$B$22,"Too high","OK"))</f>
        <v/>
      </c>
      <c r="X36" s="24">
        <f>IF($A36="","",$C36&amp;"|"&amp;$F36&amp;"|"&amp;$E36&amp;"|"&amp;$D36)</f>
        <v/>
      </c>
    </row>
    <row r="37">
      <c r="B37" s="16" t="n"/>
      <c r="N37" s="17">
        <f>IF($A37="","",$K37*1000/(Settings!$B$14*($J37+273.15)))</f>
        <v/>
      </c>
      <c r="O37" s="18">
        <f>IF($A37="","",0.5*N37*G37^2)</f>
        <v/>
      </c>
      <c r="P37" s="17">
        <f>IF($A37="","",H37-I37)</f>
        <v/>
      </c>
      <c r="Q37" s="19">
        <f>IF(COUNTIF(Designs!$A:$A,$C37)=0,"",INDEX(Designs!$C:$C,MATCH($C37,Designs!$A:$A,0))/1000)</f>
        <v/>
      </c>
      <c r="R37" s="20">
        <f>IF(COUNTIF(Designs!$A:$A,$C37)=0,"",INDEX(Designs!$D:$D,MATCH($C37,Designs!$A:$A,0)))</f>
        <v/>
      </c>
      <c r="S37" s="17">
        <f>IF(OR($A37="",O37="",R37=""),"",IF(O37*R37=0,"",P37/(O37*R37)))</f>
        <v/>
      </c>
      <c r="T37" s="21">
        <f>IF($A37="","",Settings!$B$15*($J37+273.15)^1.5/($J37+273.15+Settings!$B$16))</f>
        <v/>
      </c>
      <c r="U37" s="22">
        <f>IF(OR($A37="",Q37=""),"",N37*G37*Q37/T37)</f>
        <v/>
      </c>
      <c r="V37" s="23">
        <f>IF(OR(L37="",Settings!$B$21=""),"",L37/10000/Settings!$B$21)</f>
        <v/>
      </c>
      <c r="W37" s="24">
        <f>IF(V37="","",IF(V37&gt;Settings!$B$22,"Too high","OK"))</f>
        <v/>
      </c>
      <c r="X37" s="24">
        <f>IF($A37="","",$C37&amp;"|"&amp;$F37&amp;"|"&amp;$E37&amp;"|"&amp;$D37)</f>
        <v/>
      </c>
    </row>
    <row r="38">
      <c r="B38" s="16" t="n"/>
      <c r="N38" s="17">
        <f>IF($A38="","",$K38*1000/(Settings!$B$14*($J38+273.15)))</f>
        <v/>
      </c>
      <c r="O38" s="18">
        <f>IF($A38="","",0.5*N38*G38^2)</f>
        <v/>
      </c>
      <c r="P38" s="17">
        <f>IF($A38="","",H38-I38)</f>
        <v/>
      </c>
      <c r="Q38" s="19">
        <f>IF(COUNTIF(Designs!$A:$A,$C38)=0,"",INDEX(Designs!$C:$C,MATCH($C38,Designs!$A:$A,0))/1000)</f>
        <v/>
      </c>
      <c r="R38" s="20">
        <f>IF(COUNTIF(Designs!$A:$A,$C38)=0,"",INDEX(Designs!$D:$D,MATCH($C38,Designs!$A:$A,0)))</f>
        <v/>
      </c>
      <c r="S38" s="17">
        <f>IF(OR($A38="",O38="",R38=""),"",IF(O38*R38=0,"",P38/(O38*R38)))</f>
        <v/>
      </c>
      <c r="T38" s="21">
        <f>IF($A38="","",Settings!$B$15*($J38+273.15)^1.5/($J38+273.15+Settings!$B$16))</f>
        <v/>
      </c>
      <c r="U38" s="22">
        <f>IF(OR($A38="",Q38=""),"",N38*G38*Q38/T38)</f>
        <v/>
      </c>
      <c r="V38" s="23">
        <f>IF(OR(L38="",Settings!$B$21=""),"",L38/10000/Settings!$B$21)</f>
        <v/>
      </c>
      <c r="W38" s="24">
        <f>IF(V38="","",IF(V38&gt;Settings!$B$22,"Too high","OK"))</f>
        <v/>
      </c>
      <c r="X38" s="24">
        <f>IF($A38="","",$C38&amp;"|"&amp;$F38&amp;"|"&amp;$E38&amp;"|"&amp;$D38)</f>
        <v/>
      </c>
    </row>
    <row r="39">
      <c r="B39" s="16" t="n"/>
      <c r="N39" s="17">
        <f>IF($A39="","",$K39*1000/(Settings!$B$14*($J39+273.15)))</f>
        <v/>
      </c>
      <c r="O39" s="18">
        <f>IF($A39="","",0.5*N39*G39^2)</f>
        <v/>
      </c>
      <c r="P39" s="17">
        <f>IF($A39="","",H39-I39)</f>
        <v/>
      </c>
      <c r="Q39" s="19">
        <f>IF(COUNTIF(Designs!$A:$A,$C39)=0,"",INDEX(Designs!$C:$C,MATCH($C39,Designs!$A:$A,0))/1000)</f>
        <v/>
      </c>
      <c r="R39" s="20">
        <f>IF(COUNTIF(Designs!$A:$A,$C39)=0,"",INDEX(Designs!$D:$D,MATCH($C39,Designs!$A:$A,0)))</f>
        <v/>
      </c>
      <c r="S39" s="17">
        <f>IF(OR($A39="",O39="",R39=""),"",IF(O39*R39=0,"",P39/(O39*R39)))</f>
        <v/>
      </c>
      <c r="T39" s="21">
        <f>IF($A39="","",Settings!$B$15*($J39+273.15)^1.5/($J39+273.15+Settings!$B$16))</f>
        <v/>
      </c>
      <c r="U39" s="22">
        <f>IF(OR($A39="",Q39=""),"",N39*G39*Q39/T39)</f>
        <v/>
      </c>
      <c r="V39" s="23">
        <f>IF(OR(L39="",Settings!$B$21=""),"",L39/10000/Settings!$B$21)</f>
        <v/>
      </c>
      <c r="W39" s="24">
        <f>IF(V39="","",IF(V39&gt;Settings!$B$22,"Too high","OK"))</f>
        <v/>
      </c>
      <c r="X39" s="24">
        <f>IF($A39="","",$C39&amp;"|"&amp;$F39&amp;"|"&amp;$E39&amp;"|"&amp;$D39)</f>
        <v/>
      </c>
    </row>
    <row r="40">
      <c r="B40" s="16" t="n"/>
      <c r="N40" s="17">
        <f>IF($A40="","",$K40*1000/(Settings!$B$14*($J40+273.15)))</f>
        <v/>
      </c>
      <c r="O40" s="18">
        <f>IF($A40="","",0.5*N40*G40^2)</f>
        <v/>
      </c>
      <c r="P40" s="17">
        <f>IF($A40="","",H40-I40)</f>
        <v/>
      </c>
      <c r="Q40" s="19">
        <f>IF(COUNTIF(Designs!$A:$A,$C40)=0,"",INDEX(Designs!$C:$C,MATCH($C40,Designs!$A:$A,0))/1000)</f>
        <v/>
      </c>
      <c r="R40" s="20">
        <f>IF(COUNTIF(Designs!$A:$A,$C40)=0,"",INDEX(Designs!$D:$D,MATCH($C40,Designs!$A:$A,0)))</f>
        <v/>
      </c>
      <c r="S40" s="17">
        <f>IF(OR($A40="",O40="",R40=""),"",IF(O40*R40=0,"",P40/(O40*R40)))</f>
        <v/>
      </c>
      <c r="T40" s="21">
        <f>IF($A40="","",Settings!$B$15*($J40+273.15)^1.5/($J40+273.15+Settings!$B$16))</f>
        <v/>
      </c>
      <c r="U40" s="22">
        <f>IF(OR($A40="",Q40=""),"",N40*G40*Q40/T40)</f>
        <v/>
      </c>
      <c r="V40" s="23">
        <f>IF(OR(L40="",Settings!$B$21=""),"",L40/10000/Settings!$B$21)</f>
        <v/>
      </c>
      <c r="W40" s="24">
        <f>IF(V40="","",IF(V40&gt;Settings!$B$22,"Too high","OK"))</f>
        <v/>
      </c>
      <c r="X40" s="24">
        <f>IF($A40="","",$C40&amp;"|"&amp;$F40&amp;"|"&amp;$E40&amp;"|"&amp;$D40)</f>
        <v/>
      </c>
    </row>
    <row r="41">
      <c r="B41" s="16" t="n"/>
      <c r="N41" s="17">
        <f>IF($A41="","",$K41*1000/(Settings!$B$14*($J41+273.15)))</f>
        <v/>
      </c>
      <c r="O41" s="18">
        <f>IF($A41="","",0.5*N41*G41^2)</f>
        <v/>
      </c>
      <c r="P41" s="17">
        <f>IF($A41="","",H41-I41)</f>
        <v/>
      </c>
      <c r="Q41" s="19">
        <f>IF(COUNTIF(Designs!$A:$A,$C41)=0,"",INDEX(Designs!$C:$C,MATCH($C41,Designs!$A:$A,0))/1000)</f>
        <v/>
      </c>
      <c r="R41" s="20">
        <f>IF(COUNTIF(Designs!$A:$A,$C41)=0,"",INDEX(Designs!$D:$D,MATCH($C41,Designs!$A:$A,0)))</f>
        <v/>
      </c>
      <c r="S41" s="17">
        <f>IF(OR($A41="",O41="",R41=""),"",IF(O41*R41=0,"",P41/(O41*R41)))</f>
        <v/>
      </c>
      <c r="T41" s="21">
        <f>IF($A41="","",Settings!$B$15*($J41+273.15)^1.5/($J41+273.15+Settings!$B$16))</f>
        <v/>
      </c>
      <c r="U41" s="22">
        <f>IF(OR($A41="",Q41=""),"",N41*G41*Q41/T41)</f>
        <v/>
      </c>
      <c r="V41" s="23">
        <f>IF(OR(L41="",Settings!$B$21=""),"",L41/10000/Settings!$B$21)</f>
        <v/>
      </c>
      <c r="W41" s="24">
        <f>IF(V41="","",IF(V41&gt;Settings!$B$22,"Too high","OK"))</f>
        <v/>
      </c>
      <c r="X41" s="24">
        <f>IF($A41="","",$C41&amp;"|"&amp;$F41&amp;"|"&amp;$E41&amp;"|"&amp;$D41)</f>
        <v/>
      </c>
    </row>
    <row r="42">
      <c r="B42" s="16" t="n"/>
      <c r="N42" s="17">
        <f>IF($A42="","",$K42*1000/(Settings!$B$14*($J42+273.15)))</f>
        <v/>
      </c>
      <c r="O42" s="18">
        <f>IF($A42="","",0.5*N42*G42^2)</f>
        <v/>
      </c>
      <c r="P42" s="17">
        <f>IF($A42="","",H42-I42)</f>
        <v/>
      </c>
      <c r="Q42" s="19">
        <f>IF(COUNTIF(Designs!$A:$A,$C42)=0,"",INDEX(Designs!$C:$C,MATCH($C42,Designs!$A:$A,0))/1000)</f>
        <v/>
      </c>
      <c r="R42" s="20">
        <f>IF(COUNTIF(Designs!$A:$A,$C42)=0,"",INDEX(Designs!$D:$D,MATCH($C42,Designs!$A:$A,0)))</f>
        <v/>
      </c>
      <c r="S42" s="17">
        <f>IF(OR($A42="",O42="",R42=""),"",IF(O42*R42=0,"",P42/(O42*R42)))</f>
        <v/>
      </c>
      <c r="T42" s="21">
        <f>IF($A42="","",Settings!$B$15*($J42+273.15)^1.5/($J42+273.15+Settings!$B$16))</f>
        <v/>
      </c>
      <c r="U42" s="22">
        <f>IF(OR($A42="",Q42=""),"",N42*G42*Q42/T42)</f>
        <v/>
      </c>
      <c r="V42" s="23">
        <f>IF(OR(L42="",Settings!$B$21=""),"",L42/10000/Settings!$B$21)</f>
        <v/>
      </c>
      <c r="W42" s="24">
        <f>IF(V42="","",IF(V42&gt;Settings!$B$22,"Too high","OK"))</f>
        <v/>
      </c>
      <c r="X42" s="24">
        <f>IF($A42="","",$C42&amp;"|"&amp;$F42&amp;"|"&amp;$E42&amp;"|"&amp;$D42)</f>
        <v/>
      </c>
    </row>
    <row r="43">
      <c r="B43" s="16" t="n"/>
      <c r="N43" s="17">
        <f>IF($A43="","",$K43*1000/(Settings!$B$14*($J43+273.15)))</f>
        <v/>
      </c>
      <c r="O43" s="18">
        <f>IF($A43="","",0.5*N43*G43^2)</f>
        <v/>
      </c>
      <c r="P43" s="17">
        <f>IF($A43="","",H43-I43)</f>
        <v/>
      </c>
      <c r="Q43" s="19">
        <f>IF(COUNTIF(Designs!$A:$A,$C43)=0,"",INDEX(Designs!$C:$C,MATCH($C43,Designs!$A:$A,0))/1000)</f>
        <v/>
      </c>
      <c r="R43" s="20">
        <f>IF(COUNTIF(Designs!$A:$A,$C43)=0,"",INDEX(Designs!$D:$D,MATCH($C43,Designs!$A:$A,0)))</f>
        <v/>
      </c>
      <c r="S43" s="17">
        <f>IF(OR($A43="",O43="",R43=""),"",IF(O43*R43=0,"",P43/(O43*R43)))</f>
        <v/>
      </c>
      <c r="T43" s="21">
        <f>IF($A43="","",Settings!$B$15*($J43+273.15)^1.5/($J43+273.15+Settings!$B$16))</f>
        <v/>
      </c>
      <c r="U43" s="22">
        <f>IF(OR($A43="",Q43=""),"",N43*G43*Q43/T43)</f>
        <v/>
      </c>
      <c r="V43" s="23">
        <f>IF(OR(L43="",Settings!$B$21=""),"",L43/10000/Settings!$B$21)</f>
        <v/>
      </c>
      <c r="W43" s="24">
        <f>IF(V43="","",IF(V43&gt;Settings!$B$22,"Too high","OK"))</f>
        <v/>
      </c>
      <c r="X43" s="24">
        <f>IF($A43="","",$C43&amp;"|"&amp;$F43&amp;"|"&amp;$E43&amp;"|"&amp;$D43)</f>
        <v/>
      </c>
    </row>
    <row r="44">
      <c r="B44" s="16" t="n"/>
      <c r="N44" s="17">
        <f>IF($A44="","",$K44*1000/(Settings!$B$14*($J44+273.15)))</f>
        <v/>
      </c>
      <c r="O44" s="18">
        <f>IF($A44="","",0.5*N44*G44^2)</f>
        <v/>
      </c>
      <c r="P44" s="17">
        <f>IF($A44="","",H44-I44)</f>
        <v/>
      </c>
      <c r="Q44" s="19">
        <f>IF(COUNTIF(Designs!$A:$A,$C44)=0,"",INDEX(Designs!$C:$C,MATCH($C44,Designs!$A:$A,0))/1000)</f>
        <v/>
      </c>
      <c r="R44" s="20">
        <f>IF(COUNTIF(Designs!$A:$A,$C44)=0,"",INDEX(Designs!$D:$D,MATCH($C44,Designs!$A:$A,0)))</f>
        <v/>
      </c>
      <c r="S44" s="17">
        <f>IF(OR($A44="",O44="",R44=""),"",IF(O44*R44=0,"",P44/(O44*R44)))</f>
        <v/>
      </c>
      <c r="T44" s="21">
        <f>IF($A44="","",Settings!$B$15*($J44+273.15)^1.5/($J44+273.15+Settings!$B$16))</f>
        <v/>
      </c>
      <c r="U44" s="22">
        <f>IF(OR($A44="",Q44=""),"",N44*G44*Q44/T44)</f>
        <v/>
      </c>
      <c r="V44" s="23">
        <f>IF(OR(L44="",Settings!$B$21=""),"",L44/10000/Settings!$B$21)</f>
        <v/>
      </c>
      <c r="W44" s="24">
        <f>IF(V44="","",IF(V44&gt;Settings!$B$22,"Too high","OK"))</f>
        <v/>
      </c>
      <c r="X44" s="24">
        <f>IF($A44="","",$C44&amp;"|"&amp;$F44&amp;"|"&amp;$E44&amp;"|"&amp;$D44)</f>
        <v/>
      </c>
    </row>
  </sheetData>
  <conditionalFormatting sqref="W5:W44">
    <cfRule type="expression" priority="1" dxfId="0">
      <formula>$W5="Too high"</formula>
    </cfRule>
  </conditionalFormatting>
  <dataValidations count="3">
    <dataValidation sqref="C5:C44" showDropDown="0" showInputMessage="0" showErrorMessage="0" allowBlank="1" type="list">
      <formula1>=Designs!$A$5:$A$14</formula1>
    </dataValidation>
    <dataValidation sqref="D5:D44" showDropDown="0" showInputMessage="0" showErrorMessage="0" allowBlank="1" type="list">
      <formula1>"Nose,Air brake,Fin can"</formula1>
    </dataValidation>
    <dataValidation sqref="E5:E44" showDropDown="0" showInputMessage="0" showErrorMessage="0" allowBlank="1" type="list">
      <formula1>"0,25,50,75,100"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style="12" min="1" max="1"/>
    <col width="11" customWidth="1" style="12" min="2" max="2"/>
    <col width="11" customWidth="1" style="12" min="3" max="3"/>
    <col width="10" customWidth="1" style="12" min="4" max="4"/>
    <col width="10" customWidth="1" style="12" min="5" max="5"/>
    <col width="10" customWidth="1" style="12" min="6" max="6"/>
    <col width="12" customWidth="1" style="12" min="7" max="7"/>
    <col width="11" customWidth="1" style="12" min="8" max="8"/>
    <col width="12" customWidth="1" style="12" min="9" max="9"/>
    <col width="11" customWidth="1" style="12" min="10" max="10"/>
    <col width="13" customWidth="1" style="12" min="11" max="11"/>
    <col width="13" customWidth="1" style="12" min="12" max="12"/>
    <col width="12" customWidth="1" style="12" min="13" max="13"/>
    <col width="13" customWidth="1" style="12" min="14" max="14"/>
    <col width="13" customWidth="1" style="12" min="15" max="15"/>
    <col width="13" customWidth="1" style="12" min="16" max="16"/>
    <col width="13" customWidth="1" style="12" min="17" max="17"/>
    <col width="13" customWidth="1" style="12" min="18" max="18"/>
    <col width="13" customWidth="1" style="12" min="19" max="19"/>
    <col width="13" customWidth="1" style="12" min="20" max="20"/>
    <col width="13" customWidth="1" style="12" min="21" max="21"/>
    <col width="13" customWidth="1" style="12" min="22" max="22"/>
    <col width="13" customWidth="1" style="12" min="23" max="23"/>
    <col width="13" customWidth="1" style="12" min="24" max="24"/>
  </cols>
  <sheetData>
    <row r="1">
      <c r="A1" s="1" t="inlineStr">
        <is>
          <t>Whole-rocket drag from the three sections</t>
        </is>
      </c>
    </row>
    <row r="2">
      <c r="A2" s="2" t="inlineStr">
        <is>
          <t>Add one row per design, speed setpoint and deployment. Repeat runs are averaged; the three sections are added together.</t>
        </is>
      </c>
    </row>
    <row r="3">
      <c r="D3" s="25" t="inlineStr">
        <is>
          <t>Average net drag by section (N)</t>
        </is>
      </c>
    </row>
    <row r="4" ht="42" customHeight="1">
      <c r="A4" s="13" t="inlineStr">
        <is>
          <t>Design ID</t>
        </is>
      </c>
      <c r="B4" s="13" t="inlineStr">
        <is>
          <t>Speed setpoint (m/s)</t>
        </is>
      </c>
      <c r="C4" s="13" t="inlineStr">
        <is>
          <t>Deployment (%)</t>
        </is>
      </c>
      <c r="D4" s="13" t="inlineStr">
        <is>
          <t>Nose</t>
        </is>
      </c>
      <c r="E4" s="13" t="inlineStr">
        <is>
          <t>Air brake</t>
        </is>
      </c>
      <c r="F4" s="13" t="inlineStr">
        <is>
          <t>Fin can</t>
        </is>
      </c>
      <c r="G4" s="13" t="inlineStr">
        <is>
          <t>All three sections tested?</t>
        </is>
      </c>
      <c r="H4" s="13" t="inlineStr">
        <is>
          <t>Total drag (N)</t>
        </is>
      </c>
      <c r="I4" s="13" t="inlineStr">
        <is>
          <t>Average dynamic pressure (Pa)</t>
        </is>
      </c>
      <c r="J4" s="13" t="inlineStr">
        <is>
          <t>Reference area (m²)</t>
        </is>
      </c>
      <c r="K4" s="13" t="inlineStr">
        <is>
          <t>Whole-rocket drag coefficient</t>
        </is>
      </c>
      <c r="L4" s="13" t="inlineStr">
        <is>
          <t>Air brake section drag, stowed (N)</t>
        </is>
      </c>
      <c r="M4" s="13" t="inlineStr">
        <is>
          <t>Drag added by brakes (N)</t>
        </is>
      </c>
      <c r="N4" s="13" t="inlineStr">
        <is>
          <t>Drag coefficient added by brakes</t>
        </is>
      </c>
    </row>
    <row r="5">
      <c r="A5" t="inlineStr">
        <is>
          <t>MIT-6in</t>
        </is>
      </c>
      <c r="B5" t="n">
        <v>20</v>
      </c>
      <c r="C5" t="n">
        <v>100</v>
      </c>
      <c r="D5" s="17">
        <f>IF($A5="","",IF(COUNTIF('Tunnel runs'!$X:$X,$A5&amp;"|"&amp;$B5&amp;"|"&amp;$C5&amp;"|"&amp;D$4)=0,"",AVERAGEIF('Tunnel runs'!$X:$X,$A5&amp;"|"&amp;$B5&amp;"|"&amp;$C5&amp;"|"&amp;D$4,'Tunnel runs'!$P:$P)))</f>
        <v/>
      </c>
      <c r="E5" s="17">
        <f>IF($A5="","",IF(COUNTIF('Tunnel runs'!$X:$X,$A5&amp;"|"&amp;$B5&amp;"|"&amp;$C5&amp;"|"&amp;E$4)=0,"",AVERAGEIF('Tunnel runs'!$X:$X,$A5&amp;"|"&amp;$B5&amp;"|"&amp;$C5&amp;"|"&amp;E$4,'Tunnel runs'!$P:$P)))</f>
        <v/>
      </c>
      <c r="F5" s="17">
        <f>IF($A5="","",IF(COUNTIF('Tunnel runs'!$X:$X,$A5&amp;"|"&amp;$B5&amp;"|"&amp;$C5&amp;"|"&amp;F$4)=0,"",AVERAGEIF('Tunnel runs'!$X:$X,$A5&amp;"|"&amp;$B5&amp;"|"&amp;$C5&amp;"|"&amp;F$4,'Tunnel runs'!$P:$P)))</f>
        <v/>
      </c>
      <c r="G5" s="24">
        <f>IF($A5="","",IF(COUNT(D5:F5)=3,"Yes","No"))</f>
        <v/>
      </c>
      <c r="H5" s="17">
        <f>IF(G5="Yes",SUM(D5:F5),"")</f>
        <v/>
      </c>
      <c r="I5" s="18">
        <f>IF($A5="","",IF(COUNTIF('Tunnel runs'!$X:$X,$A5&amp;"|"&amp;$B5&amp;"|"&amp;$C5&amp;"|*")=0,"",AVERAGEIF('Tunnel runs'!$X:$X,$A5&amp;"|"&amp;$B5&amp;"|"&amp;$C5&amp;"|*",'Tunnel runs'!$O:$O)))</f>
        <v/>
      </c>
      <c r="J5" s="20">
        <f>IF(COUNTIF(Designs!$A:$A,$A5)=0,"",INDEX(Designs!$D:$D,MATCH($A5,Designs!$A:$A,0)))</f>
        <v/>
      </c>
      <c r="K5" s="17">
        <f>IF(OR(H5="",I5="",J5=""),"",H5/(I5*J5))</f>
        <v/>
      </c>
      <c r="L5" s="17">
        <f>IF($A5="","",IF(COUNTIF('Tunnel runs'!$X:$X,$A5&amp;"|"&amp;$B5&amp;"|0|"&amp;E$4)=0,"",AVERAGEIF('Tunnel runs'!$X:$X,$A5&amp;"|"&amp;$B5&amp;"|0|"&amp;E$4,'Tunnel runs'!$P:$P)))</f>
        <v/>
      </c>
      <c r="M5" s="17">
        <f>IF(OR(E5="",L5=""),"",E5-L5)</f>
        <v/>
      </c>
      <c r="N5" s="17">
        <f>IF(OR(M5="",I5="",J5=""),"",M5/(I5*J5))</f>
        <v/>
      </c>
    </row>
    <row r="6">
      <c r="D6" s="17">
        <f>IF($A6="","",IF(COUNTIF('Tunnel runs'!$X:$X,$A6&amp;"|"&amp;$B6&amp;"|"&amp;$C6&amp;"|"&amp;D$4)=0,"",AVERAGEIF('Tunnel runs'!$X:$X,$A6&amp;"|"&amp;$B6&amp;"|"&amp;$C6&amp;"|"&amp;D$4,'Tunnel runs'!$P:$P)))</f>
        <v/>
      </c>
      <c r="E6" s="17">
        <f>IF($A6="","",IF(COUNTIF('Tunnel runs'!$X:$X,$A6&amp;"|"&amp;$B6&amp;"|"&amp;$C6&amp;"|"&amp;E$4)=0,"",AVERAGEIF('Tunnel runs'!$X:$X,$A6&amp;"|"&amp;$B6&amp;"|"&amp;$C6&amp;"|"&amp;E$4,'Tunnel runs'!$P:$P)))</f>
        <v/>
      </c>
      <c r="F6" s="17">
        <f>IF($A6="","",IF(COUNTIF('Tunnel runs'!$X:$X,$A6&amp;"|"&amp;$B6&amp;"|"&amp;$C6&amp;"|"&amp;F$4)=0,"",AVERAGEIF('Tunnel runs'!$X:$X,$A6&amp;"|"&amp;$B6&amp;"|"&amp;$C6&amp;"|"&amp;F$4,'Tunnel runs'!$P:$P)))</f>
        <v/>
      </c>
      <c r="G6" s="24">
        <f>IF($A6="","",IF(COUNT(D6:F6)=3,"Yes","No"))</f>
        <v/>
      </c>
      <c r="H6" s="17">
        <f>IF(G6="Yes",SUM(D6:F6),"")</f>
        <v/>
      </c>
      <c r="I6" s="18">
        <f>IF($A6="","",IF(COUNTIF('Tunnel runs'!$X:$X,$A6&amp;"|"&amp;$B6&amp;"|"&amp;$C6&amp;"|*")=0,"",AVERAGEIF('Tunnel runs'!$X:$X,$A6&amp;"|"&amp;$B6&amp;"|"&amp;$C6&amp;"|*",'Tunnel runs'!$O:$O)))</f>
        <v/>
      </c>
      <c r="J6" s="20">
        <f>IF(COUNTIF(Designs!$A:$A,$A6)=0,"",INDEX(Designs!$D:$D,MATCH($A6,Designs!$A:$A,0)))</f>
        <v/>
      </c>
      <c r="K6" s="17">
        <f>IF(OR(H6="",I6="",J6=""),"",H6/(I6*J6))</f>
        <v/>
      </c>
      <c r="L6" s="17">
        <f>IF($A6="","",IF(COUNTIF('Tunnel runs'!$X:$X,$A6&amp;"|"&amp;$B6&amp;"|0|"&amp;E$4)=0,"",AVERAGEIF('Tunnel runs'!$X:$X,$A6&amp;"|"&amp;$B6&amp;"|0|"&amp;E$4,'Tunnel runs'!$P:$P)))</f>
        <v/>
      </c>
      <c r="M6" s="17">
        <f>IF(OR(E6="",L6=""),"",E6-L6)</f>
        <v/>
      </c>
      <c r="N6" s="17">
        <f>IF(OR(M6="",I6="",J6=""),"",M6/(I6*J6))</f>
        <v/>
      </c>
    </row>
    <row r="7">
      <c r="D7" s="17">
        <f>IF($A7="","",IF(COUNTIF('Tunnel runs'!$X:$X,$A7&amp;"|"&amp;$B7&amp;"|"&amp;$C7&amp;"|"&amp;D$4)=0,"",AVERAGEIF('Tunnel runs'!$X:$X,$A7&amp;"|"&amp;$B7&amp;"|"&amp;$C7&amp;"|"&amp;D$4,'Tunnel runs'!$P:$P)))</f>
        <v/>
      </c>
      <c r="E7" s="17">
        <f>IF($A7="","",IF(COUNTIF('Tunnel runs'!$X:$X,$A7&amp;"|"&amp;$B7&amp;"|"&amp;$C7&amp;"|"&amp;E$4)=0,"",AVERAGEIF('Tunnel runs'!$X:$X,$A7&amp;"|"&amp;$B7&amp;"|"&amp;$C7&amp;"|"&amp;E$4,'Tunnel runs'!$P:$P)))</f>
        <v/>
      </c>
      <c r="F7" s="17">
        <f>IF($A7="","",IF(COUNTIF('Tunnel runs'!$X:$X,$A7&amp;"|"&amp;$B7&amp;"|"&amp;$C7&amp;"|"&amp;F$4)=0,"",AVERAGEIF('Tunnel runs'!$X:$X,$A7&amp;"|"&amp;$B7&amp;"|"&amp;$C7&amp;"|"&amp;F$4,'Tunnel runs'!$P:$P)))</f>
        <v/>
      </c>
      <c r="G7" s="24">
        <f>IF($A7="","",IF(COUNT(D7:F7)=3,"Yes","No"))</f>
        <v/>
      </c>
      <c r="H7" s="17">
        <f>IF(G7="Yes",SUM(D7:F7),"")</f>
        <v/>
      </c>
      <c r="I7" s="18">
        <f>IF($A7="","",IF(COUNTIF('Tunnel runs'!$X:$X,$A7&amp;"|"&amp;$B7&amp;"|"&amp;$C7&amp;"|*")=0,"",AVERAGEIF('Tunnel runs'!$X:$X,$A7&amp;"|"&amp;$B7&amp;"|"&amp;$C7&amp;"|*",'Tunnel runs'!$O:$O)))</f>
        <v/>
      </c>
      <c r="J7" s="20">
        <f>IF(COUNTIF(Designs!$A:$A,$A7)=0,"",INDEX(Designs!$D:$D,MATCH($A7,Designs!$A:$A,0)))</f>
        <v/>
      </c>
      <c r="K7" s="17">
        <f>IF(OR(H7="",I7="",J7=""),"",H7/(I7*J7))</f>
        <v/>
      </c>
      <c r="L7" s="17">
        <f>IF($A7="","",IF(COUNTIF('Tunnel runs'!$X:$X,$A7&amp;"|"&amp;$B7&amp;"|0|"&amp;E$4)=0,"",AVERAGEIF('Tunnel runs'!$X:$X,$A7&amp;"|"&amp;$B7&amp;"|0|"&amp;E$4,'Tunnel runs'!$P:$P)))</f>
        <v/>
      </c>
      <c r="M7" s="17">
        <f>IF(OR(E7="",L7=""),"",E7-L7)</f>
        <v/>
      </c>
      <c r="N7" s="17">
        <f>IF(OR(M7="",I7="",J7=""),"",M7/(I7*J7))</f>
        <v/>
      </c>
    </row>
    <row r="8">
      <c r="D8" s="17">
        <f>IF($A8="","",IF(COUNTIF('Tunnel runs'!$X:$X,$A8&amp;"|"&amp;$B8&amp;"|"&amp;$C8&amp;"|"&amp;D$4)=0,"",AVERAGEIF('Tunnel runs'!$X:$X,$A8&amp;"|"&amp;$B8&amp;"|"&amp;$C8&amp;"|"&amp;D$4,'Tunnel runs'!$P:$P)))</f>
        <v/>
      </c>
      <c r="E8" s="17">
        <f>IF($A8="","",IF(COUNTIF('Tunnel runs'!$X:$X,$A8&amp;"|"&amp;$B8&amp;"|"&amp;$C8&amp;"|"&amp;E$4)=0,"",AVERAGEIF('Tunnel runs'!$X:$X,$A8&amp;"|"&amp;$B8&amp;"|"&amp;$C8&amp;"|"&amp;E$4,'Tunnel runs'!$P:$P)))</f>
        <v/>
      </c>
      <c r="F8" s="17">
        <f>IF($A8="","",IF(COUNTIF('Tunnel runs'!$X:$X,$A8&amp;"|"&amp;$B8&amp;"|"&amp;$C8&amp;"|"&amp;F$4)=0,"",AVERAGEIF('Tunnel runs'!$X:$X,$A8&amp;"|"&amp;$B8&amp;"|"&amp;$C8&amp;"|"&amp;F$4,'Tunnel runs'!$P:$P)))</f>
        <v/>
      </c>
      <c r="G8" s="24">
        <f>IF($A8="","",IF(COUNT(D8:F8)=3,"Yes","No"))</f>
        <v/>
      </c>
      <c r="H8" s="17">
        <f>IF(G8="Yes",SUM(D8:F8),"")</f>
        <v/>
      </c>
      <c r="I8" s="18">
        <f>IF($A8="","",IF(COUNTIF('Tunnel runs'!$X:$X,$A8&amp;"|"&amp;$B8&amp;"|"&amp;$C8&amp;"|*")=0,"",AVERAGEIF('Tunnel runs'!$X:$X,$A8&amp;"|"&amp;$B8&amp;"|"&amp;$C8&amp;"|*",'Tunnel runs'!$O:$O)))</f>
        <v/>
      </c>
      <c r="J8" s="20">
        <f>IF(COUNTIF(Designs!$A:$A,$A8)=0,"",INDEX(Designs!$D:$D,MATCH($A8,Designs!$A:$A,0)))</f>
        <v/>
      </c>
      <c r="K8" s="17">
        <f>IF(OR(H8="",I8="",J8=""),"",H8/(I8*J8))</f>
        <v/>
      </c>
      <c r="L8" s="17">
        <f>IF($A8="","",IF(COUNTIF('Tunnel runs'!$X:$X,$A8&amp;"|"&amp;$B8&amp;"|0|"&amp;E$4)=0,"",AVERAGEIF('Tunnel runs'!$X:$X,$A8&amp;"|"&amp;$B8&amp;"|0|"&amp;E$4,'Tunnel runs'!$P:$P)))</f>
        <v/>
      </c>
      <c r="M8" s="17">
        <f>IF(OR(E8="",L8=""),"",E8-L8)</f>
        <v/>
      </c>
      <c r="N8" s="17">
        <f>IF(OR(M8="",I8="",J8=""),"",M8/(I8*J8))</f>
        <v/>
      </c>
    </row>
    <row r="9">
      <c r="D9" s="17">
        <f>IF($A9="","",IF(COUNTIF('Tunnel runs'!$X:$X,$A9&amp;"|"&amp;$B9&amp;"|"&amp;$C9&amp;"|"&amp;D$4)=0,"",AVERAGEIF('Tunnel runs'!$X:$X,$A9&amp;"|"&amp;$B9&amp;"|"&amp;$C9&amp;"|"&amp;D$4,'Tunnel runs'!$P:$P)))</f>
        <v/>
      </c>
      <c r="E9" s="17">
        <f>IF($A9="","",IF(COUNTIF('Tunnel runs'!$X:$X,$A9&amp;"|"&amp;$B9&amp;"|"&amp;$C9&amp;"|"&amp;E$4)=0,"",AVERAGEIF('Tunnel runs'!$X:$X,$A9&amp;"|"&amp;$B9&amp;"|"&amp;$C9&amp;"|"&amp;E$4,'Tunnel runs'!$P:$P)))</f>
        <v/>
      </c>
      <c r="F9" s="17">
        <f>IF($A9="","",IF(COUNTIF('Tunnel runs'!$X:$X,$A9&amp;"|"&amp;$B9&amp;"|"&amp;$C9&amp;"|"&amp;F$4)=0,"",AVERAGEIF('Tunnel runs'!$X:$X,$A9&amp;"|"&amp;$B9&amp;"|"&amp;$C9&amp;"|"&amp;F$4,'Tunnel runs'!$P:$P)))</f>
        <v/>
      </c>
      <c r="G9" s="24">
        <f>IF($A9="","",IF(COUNT(D9:F9)=3,"Yes","No"))</f>
        <v/>
      </c>
      <c r="H9" s="17">
        <f>IF(G9="Yes",SUM(D9:F9),"")</f>
        <v/>
      </c>
      <c r="I9" s="18">
        <f>IF($A9="","",IF(COUNTIF('Tunnel runs'!$X:$X,$A9&amp;"|"&amp;$B9&amp;"|"&amp;$C9&amp;"|*")=0,"",AVERAGEIF('Tunnel runs'!$X:$X,$A9&amp;"|"&amp;$B9&amp;"|"&amp;$C9&amp;"|*",'Tunnel runs'!$O:$O)))</f>
        <v/>
      </c>
      <c r="J9" s="20">
        <f>IF(COUNTIF(Designs!$A:$A,$A9)=0,"",INDEX(Designs!$D:$D,MATCH($A9,Designs!$A:$A,0)))</f>
        <v/>
      </c>
      <c r="K9" s="17">
        <f>IF(OR(H9="",I9="",J9=""),"",H9/(I9*J9))</f>
        <v/>
      </c>
      <c r="L9" s="17">
        <f>IF($A9="","",IF(COUNTIF('Tunnel runs'!$X:$X,$A9&amp;"|"&amp;$B9&amp;"|0|"&amp;E$4)=0,"",AVERAGEIF('Tunnel runs'!$X:$X,$A9&amp;"|"&amp;$B9&amp;"|0|"&amp;E$4,'Tunnel runs'!$P:$P)))</f>
        <v/>
      </c>
      <c r="M9" s="17">
        <f>IF(OR(E9="",L9=""),"",E9-L9)</f>
        <v/>
      </c>
      <c r="N9" s="17">
        <f>IF(OR(M9="",I9="",J9=""),"",M9/(I9*J9))</f>
        <v/>
      </c>
    </row>
    <row r="10">
      <c r="D10" s="17">
        <f>IF($A10="","",IF(COUNTIF('Tunnel runs'!$X:$X,$A10&amp;"|"&amp;$B10&amp;"|"&amp;$C10&amp;"|"&amp;D$4)=0,"",AVERAGEIF('Tunnel runs'!$X:$X,$A10&amp;"|"&amp;$B10&amp;"|"&amp;$C10&amp;"|"&amp;D$4,'Tunnel runs'!$P:$P)))</f>
        <v/>
      </c>
      <c r="E10" s="17">
        <f>IF($A10="","",IF(COUNTIF('Tunnel runs'!$X:$X,$A10&amp;"|"&amp;$B10&amp;"|"&amp;$C10&amp;"|"&amp;E$4)=0,"",AVERAGEIF('Tunnel runs'!$X:$X,$A10&amp;"|"&amp;$B10&amp;"|"&amp;$C10&amp;"|"&amp;E$4,'Tunnel runs'!$P:$P)))</f>
        <v/>
      </c>
      <c r="F10" s="17">
        <f>IF($A10="","",IF(COUNTIF('Tunnel runs'!$X:$X,$A10&amp;"|"&amp;$B10&amp;"|"&amp;$C10&amp;"|"&amp;F$4)=0,"",AVERAGEIF('Tunnel runs'!$X:$X,$A10&amp;"|"&amp;$B10&amp;"|"&amp;$C10&amp;"|"&amp;F$4,'Tunnel runs'!$P:$P)))</f>
        <v/>
      </c>
      <c r="G10" s="24">
        <f>IF($A10="","",IF(COUNT(D10:F10)=3,"Yes","No"))</f>
        <v/>
      </c>
      <c r="H10" s="17">
        <f>IF(G10="Yes",SUM(D10:F10),"")</f>
        <v/>
      </c>
      <c r="I10" s="18">
        <f>IF($A10="","",IF(COUNTIF('Tunnel runs'!$X:$X,$A10&amp;"|"&amp;$B10&amp;"|"&amp;$C10&amp;"|*")=0,"",AVERAGEIF('Tunnel runs'!$X:$X,$A10&amp;"|"&amp;$B10&amp;"|"&amp;$C10&amp;"|*",'Tunnel runs'!$O:$O)))</f>
        <v/>
      </c>
      <c r="J10" s="20">
        <f>IF(COUNTIF(Designs!$A:$A,$A10)=0,"",INDEX(Designs!$D:$D,MATCH($A10,Designs!$A:$A,0)))</f>
        <v/>
      </c>
      <c r="K10" s="17">
        <f>IF(OR(H10="",I10="",J10=""),"",H10/(I10*J10))</f>
        <v/>
      </c>
      <c r="L10" s="17">
        <f>IF($A10="","",IF(COUNTIF('Tunnel runs'!$X:$X,$A10&amp;"|"&amp;$B10&amp;"|0|"&amp;E$4)=0,"",AVERAGEIF('Tunnel runs'!$X:$X,$A10&amp;"|"&amp;$B10&amp;"|0|"&amp;E$4,'Tunnel runs'!$P:$P)))</f>
        <v/>
      </c>
      <c r="M10" s="17">
        <f>IF(OR(E10="",L10=""),"",E10-L10)</f>
        <v/>
      </c>
      <c r="N10" s="17">
        <f>IF(OR(M10="",I10="",J10=""),"",M10/(I10*J10))</f>
        <v/>
      </c>
    </row>
    <row r="11">
      <c r="D11" s="17">
        <f>IF($A11="","",IF(COUNTIF('Tunnel runs'!$X:$X,$A11&amp;"|"&amp;$B11&amp;"|"&amp;$C11&amp;"|"&amp;D$4)=0,"",AVERAGEIF('Tunnel runs'!$X:$X,$A11&amp;"|"&amp;$B11&amp;"|"&amp;$C11&amp;"|"&amp;D$4,'Tunnel runs'!$P:$P)))</f>
        <v/>
      </c>
      <c r="E11" s="17">
        <f>IF($A11="","",IF(COUNTIF('Tunnel runs'!$X:$X,$A11&amp;"|"&amp;$B11&amp;"|"&amp;$C11&amp;"|"&amp;E$4)=0,"",AVERAGEIF('Tunnel runs'!$X:$X,$A11&amp;"|"&amp;$B11&amp;"|"&amp;$C11&amp;"|"&amp;E$4,'Tunnel runs'!$P:$P)))</f>
        <v/>
      </c>
      <c r="F11" s="17">
        <f>IF($A11="","",IF(COUNTIF('Tunnel runs'!$X:$X,$A11&amp;"|"&amp;$B11&amp;"|"&amp;$C11&amp;"|"&amp;F$4)=0,"",AVERAGEIF('Tunnel runs'!$X:$X,$A11&amp;"|"&amp;$B11&amp;"|"&amp;$C11&amp;"|"&amp;F$4,'Tunnel runs'!$P:$P)))</f>
        <v/>
      </c>
      <c r="G11" s="24">
        <f>IF($A11="","",IF(COUNT(D11:F11)=3,"Yes","No"))</f>
        <v/>
      </c>
      <c r="H11" s="17">
        <f>IF(G11="Yes",SUM(D11:F11),"")</f>
        <v/>
      </c>
      <c r="I11" s="18">
        <f>IF($A11="","",IF(COUNTIF('Tunnel runs'!$X:$X,$A11&amp;"|"&amp;$B11&amp;"|"&amp;$C11&amp;"|*")=0,"",AVERAGEIF('Tunnel runs'!$X:$X,$A11&amp;"|"&amp;$B11&amp;"|"&amp;$C11&amp;"|*",'Tunnel runs'!$O:$O)))</f>
        <v/>
      </c>
      <c r="J11" s="20">
        <f>IF(COUNTIF(Designs!$A:$A,$A11)=0,"",INDEX(Designs!$D:$D,MATCH($A11,Designs!$A:$A,0)))</f>
        <v/>
      </c>
      <c r="K11" s="17">
        <f>IF(OR(H11="",I11="",J11=""),"",H11/(I11*J11))</f>
        <v/>
      </c>
      <c r="L11" s="17">
        <f>IF($A11="","",IF(COUNTIF('Tunnel runs'!$X:$X,$A11&amp;"|"&amp;$B11&amp;"|0|"&amp;E$4)=0,"",AVERAGEIF('Tunnel runs'!$X:$X,$A11&amp;"|"&amp;$B11&amp;"|0|"&amp;E$4,'Tunnel runs'!$P:$P)))</f>
        <v/>
      </c>
      <c r="M11" s="17">
        <f>IF(OR(E11="",L11=""),"",E11-L11)</f>
        <v/>
      </c>
      <c r="N11" s="17">
        <f>IF(OR(M11="",I11="",J11=""),"",M11/(I11*J11))</f>
        <v/>
      </c>
    </row>
    <row r="12">
      <c r="D12" s="17">
        <f>IF($A12="","",IF(COUNTIF('Tunnel runs'!$X:$X,$A12&amp;"|"&amp;$B12&amp;"|"&amp;$C12&amp;"|"&amp;D$4)=0,"",AVERAGEIF('Tunnel runs'!$X:$X,$A12&amp;"|"&amp;$B12&amp;"|"&amp;$C12&amp;"|"&amp;D$4,'Tunnel runs'!$P:$P)))</f>
        <v/>
      </c>
      <c r="E12" s="17">
        <f>IF($A12="","",IF(COUNTIF('Tunnel runs'!$X:$X,$A12&amp;"|"&amp;$B12&amp;"|"&amp;$C12&amp;"|"&amp;E$4)=0,"",AVERAGEIF('Tunnel runs'!$X:$X,$A12&amp;"|"&amp;$B12&amp;"|"&amp;$C12&amp;"|"&amp;E$4,'Tunnel runs'!$P:$P)))</f>
        <v/>
      </c>
      <c r="F12" s="17">
        <f>IF($A12="","",IF(COUNTIF('Tunnel runs'!$X:$X,$A12&amp;"|"&amp;$B12&amp;"|"&amp;$C12&amp;"|"&amp;F$4)=0,"",AVERAGEIF('Tunnel runs'!$X:$X,$A12&amp;"|"&amp;$B12&amp;"|"&amp;$C12&amp;"|"&amp;F$4,'Tunnel runs'!$P:$P)))</f>
        <v/>
      </c>
      <c r="G12" s="24">
        <f>IF($A12="","",IF(COUNT(D12:F12)=3,"Yes","No"))</f>
        <v/>
      </c>
      <c r="H12" s="17">
        <f>IF(G12="Yes",SUM(D12:F12),"")</f>
        <v/>
      </c>
      <c r="I12" s="18">
        <f>IF($A12="","",IF(COUNTIF('Tunnel runs'!$X:$X,$A12&amp;"|"&amp;$B12&amp;"|"&amp;$C12&amp;"|*")=0,"",AVERAGEIF('Tunnel runs'!$X:$X,$A12&amp;"|"&amp;$B12&amp;"|"&amp;$C12&amp;"|*",'Tunnel runs'!$O:$O)))</f>
        <v/>
      </c>
      <c r="J12" s="20">
        <f>IF(COUNTIF(Designs!$A:$A,$A12)=0,"",INDEX(Designs!$D:$D,MATCH($A12,Designs!$A:$A,0)))</f>
        <v/>
      </c>
      <c r="K12" s="17">
        <f>IF(OR(H12="",I12="",J12=""),"",H12/(I12*J12))</f>
        <v/>
      </c>
      <c r="L12" s="17">
        <f>IF($A12="","",IF(COUNTIF('Tunnel runs'!$X:$X,$A12&amp;"|"&amp;$B12&amp;"|0|"&amp;E$4)=0,"",AVERAGEIF('Tunnel runs'!$X:$X,$A12&amp;"|"&amp;$B12&amp;"|0|"&amp;E$4,'Tunnel runs'!$P:$P)))</f>
        <v/>
      </c>
      <c r="M12" s="17">
        <f>IF(OR(E12="",L12=""),"",E12-L12)</f>
        <v/>
      </c>
      <c r="N12" s="17">
        <f>IF(OR(M12="",I12="",J12=""),"",M12/(I12*J12))</f>
        <v/>
      </c>
    </row>
    <row r="13">
      <c r="D13" s="17">
        <f>IF($A13="","",IF(COUNTIF('Tunnel runs'!$X:$X,$A13&amp;"|"&amp;$B13&amp;"|"&amp;$C13&amp;"|"&amp;D$4)=0,"",AVERAGEIF('Tunnel runs'!$X:$X,$A13&amp;"|"&amp;$B13&amp;"|"&amp;$C13&amp;"|"&amp;D$4,'Tunnel runs'!$P:$P)))</f>
        <v/>
      </c>
      <c r="E13" s="17">
        <f>IF($A13="","",IF(COUNTIF('Tunnel runs'!$X:$X,$A13&amp;"|"&amp;$B13&amp;"|"&amp;$C13&amp;"|"&amp;E$4)=0,"",AVERAGEIF('Tunnel runs'!$X:$X,$A13&amp;"|"&amp;$B13&amp;"|"&amp;$C13&amp;"|"&amp;E$4,'Tunnel runs'!$P:$P)))</f>
        <v/>
      </c>
      <c r="F13" s="17">
        <f>IF($A13="","",IF(COUNTIF('Tunnel runs'!$X:$X,$A13&amp;"|"&amp;$B13&amp;"|"&amp;$C13&amp;"|"&amp;F$4)=0,"",AVERAGEIF('Tunnel runs'!$X:$X,$A13&amp;"|"&amp;$B13&amp;"|"&amp;$C13&amp;"|"&amp;F$4,'Tunnel runs'!$P:$P)))</f>
        <v/>
      </c>
      <c r="G13" s="24">
        <f>IF($A13="","",IF(COUNT(D13:F13)=3,"Yes","No"))</f>
        <v/>
      </c>
      <c r="H13" s="17">
        <f>IF(G13="Yes",SUM(D13:F13),"")</f>
        <v/>
      </c>
      <c r="I13" s="18">
        <f>IF($A13="","",IF(COUNTIF('Tunnel runs'!$X:$X,$A13&amp;"|"&amp;$B13&amp;"|"&amp;$C13&amp;"|*")=0,"",AVERAGEIF('Tunnel runs'!$X:$X,$A13&amp;"|"&amp;$B13&amp;"|"&amp;$C13&amp;"|*",'Tunnel runs'!$O:$O)))</f>
        <v/>
      </c>
      <c r="J13" s="20">
        <f>IF(COUNTIF(Designs!$A:$A,$A13)=0,"",INDEX(Designs!$D:$D,MATCH($A13,Designs!$A:$A,0)))</f>
        <v/>
      </c>
      <c r="K13" s="17">
        <f>IF(OR(H13="",I13="",J13=""),"",H13/(I13*J13))</f>
        <v/>
      </c>
      <c r="L13" s="17">
        <f>IF($A13="","",IF(COUNTIF('Tunnel runs'!$X:$X,$A13&amp;"|"&amp;$B13&amp;"|0|"&amp;E$4)=0,"",AVERAGEIF('Tunnel runs'!$X:$X,$A13&amp;"|"&amp;$B13&amp;"|0|"&amp;E$4,'Tunnel runs'!$P:$P)))</f>
        <v/>
      </c>
      <c r="M13" s="17">
        <f>IF(OR(E13="",L13=""),"",E13-L13)</f>
        <v/>
      </c>
      <c r="N13" s="17">
        <f>IF(OR(M13="",I13="",J13=""),"",M13/(I13*J13))</f>
        <v/>
      </c>
    </row>
    <row r="14">
      <c r="D14" s="17">
        <f>IF($A14="","",IF(COUNTIF('Tunnel runs'!$X:$X,$A14&amp;"|"&amp;$B14&amp;"|"&amp;$C14&amp;"|"&amp;D$4)=0,"",AVERAGEIF('Tunnel runs'!$X:$X,$A14&amp;"|"&amp;$B14&amp;"|"&amp;$C14&amp;"|"&amp;D$4,'Tunnel runs'!$P:$P)))</f>
        <v/>
      </c>
      <c r="E14" s="17">
        <f>IF($A14="","",IF(COUNTIF('Tunnel runs'!$X:$X,$A14&amp;"|"&amp;$B14&amp;"|"&amp;$C14&amp;"|"&amp;E$4)=0,"",AVERAGEIF('Tunnel runs'!$X:$X,$A14&amp;"|"&amp;$B14&amp;"|"&amp;$C14&amp;"|"&amp;E$4,'Tunnel runs'!$P:$P)))</f>
        <v/>
      </c>
      <c r="F14" s="17">
        <f>IF($A14="","",IF(COUNTIF('Tunnel runs'!$X:$X,$A14&amp;"|"&amp;$B14&amp;"|"&amp;$C14&amp;"|"&amp;F$4)=0,"",AVERAGEIF('Tunnel runs'!$X:$X,$A14&amp;"|"&amp;$B14&amp;"|"&amp;$C14&amp;"|"&amp;F$4,'Tunnel runs'!$P:$P)))</f>
        <v/>
      </c>
      <c r="G14" s="24">
        <f>IF($A14="","",IF(COUNT(D14:F14)=3,"Yes","No"))</f>
        <v/>
      </c>
      <c r="H14" s="17">
        <f>IF(G14="Yes",SUM(D14:F14),"")</f>
        <v/>
      </c>
      <c r="I14" s="18">
        <f>IF($A14="","",IF(COUNTIF('Tunnel runs'!$X:$X,$A14&amp;"|"&amp;$B14&amp;"|"&amp;$C14&amp;"|*")=0,"",AVERAGEIF('Tunnel runs'!$X:$X,$A14&amp;"|"&amp;$B14&amp;"|"&amp;$C14&amp;"|*",'Tunnel runs'!$O:$O)))</f>
        <v/>
      </c>
      <c r="J14" s="20">
        <f>IF(COUNTIF(Designs!$A:$A,$A14)=0,"",INDEX(Designs!$D:$D,MATCH($A14,Designs!$A:$A,0)))</f>
        <v/>
      </c>
      <c r="K14" s="17">
        <f>IF(OR(H14="",I14="",J14=""),"",H14/(I14*J14))</f>
        <v/>
      </c>
      <c r="L14" s="17">
        <f>IF($A14="","",IF(COUNTIF('Tunnel runs'!$X:$X,$A14&amp;"|"&amp;$B14&amp;"|0|"&amp;E$4)=0,"",AVERAGEIF('Tunnel runs'!$X:$X,$A14&amp;"|"&amp;$B14&amp;"|0|"&amp;E$4,'Tunnel runs'!$P:$P)))</f>
        <v/>
      </c>
      <c r="M14" s="17">
        <f>IF(OR(E14="",L14=""),"",E14-L14)</f>
        <v/>
      </c>
      <c r="N14" s="17">
        <f>IF(OR(M14="",I14="",J14=""),"",M14/(I14*J14))</f>
        <v/>
      </c>
    </row>
    <row r="15">
      <c r="D15" s="17">
        <f>IF($A15="","",IF(COUNTIF('Tunnel runs'!$X:$X,$A15&amp;"|"&amp;$B15&amp;"|"&amp;$C15&amp;"|"&amp;D$4)=0,"",AVERAGEIF('Tunnel runs'!$X:$X,$A15&amp;"|"&amp;$B15&amp;"|"&amp;$C15&amp;"|"&amp;D$4,'Tunnel runs'!$P:$P)))</f>
        <v/>
      </c>
      <c r="E15" s="17">
        <f>IF($A15="","",IF(COUNTIF('Tunnel runs'!$X:$X,$A15&amp;"|"&amp;$B15&amp;"|"&amp;$C15&amp;"|"&amp;E$4)=0,"",AVERAGEIF('Tunnel runs'!$X:$X,$A15&amp;"|"&amp;$B15&amp;"|"&amp;$C15&amp;"|"&amp;E$4,'Tunnel runs'!$P:$P)))</f>
        <v/>
      </c>
      <c r="F15" s="17">
        <f>IF($A15="","",IF(COUNTIF('Tunnel runs'!$X:$X,$A15&amp;"|"&amp;$B15&amp;"|"&amp;$C15&amp;"|"&amp;F$4)=0,"",AVERAGEIF('Tunnel runs'!$X:$X,$A15&amp;"|"&amp;$B15&amp;"|"&amp;$C15&amp;"|"&amp;F$4,'Tunnel runs'!$P:$P)))</f>
        <v/>
      </c>
      <c r="G15" s="24">
        <f>IF($A15="","",IF(COUNT(D15:F15)=3,"Yes","No"))</f>
        <v/>
      </c>
      <c r="H15" s="17">
        <f>IF(G15="Yes",SUM(D15:F15),"")</f>
        <v/>
      </c>
      <c r="I15" s="18">
        <f>IF($A15="","",IF(COUNTIF('Tunnel runs'!$X:$X,$A15&amp;"|"&amp;$B15&amp;"|"&amp;$C15&amp;"|*")=0,"",AVERAGEIF('Tunnel runs'!$X:$X,$A15&amp;"|"&amp;$B15&amp;"|"&amp;$C15&amp;"|*",'Tunnel runs'!$O:$O)))</f>
        <v/>
      </c>
      <c r="J15" s="20">
        <f>IF(COUNTIF(Designs!$A:$A,$A15)=0,"",INDEX(Designs!$D:$D,MATCH($A15,Designs!$A:$A,0)))</f>
        <v/>
      </c>
      <c r="K15" s="17">
        <f>IF(OR(H15="",I15="",J15=""),"",H15/(I15*J15))</f>
        <v/>
      </c>
      <c r="L15" s="17">
        <f>IF($A15="","",IF(COUNTIF('Tunnel runs'!$X:$X,$A15&amp;"|"&amp;$B15&amp;"|0|"&amp;E$4)=0,"",AVERAGEIF('Tunnel runs'!$X:$X,$A15&amp;"|"&amp;$B15&amp;"|0|"&amp;E$4,'Tunnel runs'!$P:$P)))</f>
        <v/>
      </c>
      <c r="M15" s="17">
        <f>IF(OR(E15="",L15=""),"",E15-L15)</f>
        <v/>
      </c>
      <c r="N15" s="17">
        <f>IF(OR(M15="",I15="",J15=""),"",M15/(I15*J15))</f>
        <v/>
      </c>
    </row>
    <row r="16">
      <c r="D16" s="17">
        <f>IF($A16="","",IF(COUNTIF('Tunnel runs'!$X:$X,$A16&amp;"|"&amp;$B16&amp;"|"&amp;$C16&amp;"|"&amp;D$4)=0,"",AVERAGEIF('Tunnel runs'!$X:$X,$A16&amp;"|"&amp;$B16&amp;"|"&amp;$C16&amp;"|"&amp;D$4,'Tunnel runs'!$P:$P)))</f>
        <v/>
      </c>
      <c r="E16" s="17">
        <f>IF($A16="","",IF(COUNTIF('Tunnel runs'!$X:$X,$A16&amp;"|"&amp;$B16&amp;"|"&amp;$C16&amp;"|"&amp;E$4)=0,"",AVERAGEIF('Tunnel runs'!$X:$X,$A16&amp;"|"&amp;$B16&amp;"|"&amp;$C16&amp;"|"&amp;E$4,'Tunnel runs'!$P:$P)))</f>
        <v/>
      </c>
      <c r="F16" s="17">
        <f>IF($A16="","",IF(COUNTIF('Tunnel runs'!$X:$X,$A16&amp;"|"&amp;$B16&amp;"|"&amp;$C16&amp;"|"&amp;F$4)=0,"",AVERAGEIF('Tunnel runs'!$X:$X,$A16&amp;"|"&amp;$B16&amp;"|"&amp;$C16&amp;"|"&amp;F$4,'Tunnel runs'!$P:$P)))</f>
        <v/>
      </c>
      <c r="G16" s="24">
        <f>IF($A16="","",IF(COUNT(D16:F16)=3,"Yes","No"))</f>
        <v/>
      </c>
      <c r="H16" s="17">
        <f>IF(G16="Yes",SUM(D16:F16),"")</f>
        <v/>
      </c>
      <c r="I16" s="18">
        <f>IF($A16="","",IF(COUNTIF('Tunnel runs'!$X:$X,$A16&amp;"|"&amp;$B16&amp;"|"&amp;$C16&amp;"|*")=0,"",AVERAGEIF('Tunnel runs'!$X:$X,$A16&amp;"|"&amp;$B16&amp;"|"&amp;$C16&amp;"|*",'Tunnel runs'!$O:$O)))</f>
        <v/>
      </c>
      <c r="J16" s="20">
        <f>IF(COUNTIF(Designs!$A:$A,$A16)=0,"",INDEX(Designs!$D:$D,MATCH($A16,Designs!$A:$A,0)))</f>
        <v/>
      </c>
      <c r="K16" s="17">
        <f>IF(OR(H16="",I16="",J16=""),"",H16/(I16*J16))</f>
        <v/>
      </c>
      <c r="L16" s="17">
        <f>IF($A16="","",IF(COUNTIF('Tunnel runs'!$X:$X,$A16&amp;"|"&amp;$B16&amp;"|0|"&amp;E$4)=0,"",AVERAGEIF('Tunnel runs'!$X:$X,$A16&amp;"|"&amp;$B16&amp;"|0|"&amp;E$4,'Tunnel runs'!$P:$P)))</f>
        <v/>
      </c>
      <c r="M16" s="17">
        <f>IF(OR(E16="",L16=""),"",E16-L16)</f>
        <v/>
      </c>
      <c r="N16" s="17">
        <f>IF(OR(M16="",I16="",J16=""),"",M16/(I16*J16))</f>
        <v/>
      </c>
    </row>
    <row r="17">
      <c r="D17" s="17">
        <f>IF($A17="","",IF(COUNTIF('Tunnel runs'!$X:$X,$A17&amp;"|"&amp;$B17&amp;"|"&amp;$C17&amp;"|"&amp;D$4)=0,"",AVERAGEIF('Tunnel runs'!$X:$X,$A17&amp;"|"&amp;$B17&amp;"|"&amp;$C17&amp;"|"&amp;D$4,'Tunnel runs'!$P:$P)))</f>
        <v/>
      </c>
      <c r="E17" s="17">
        <f>IF($A17="","",IF(COUNTIF('Tunnel runs'!$X:$X,$A17&amp;"|"&amp;$B17&amp;"|"&amp;$C17&amp;"|"&amp;E$4)=0,"",AVERAGEIF('Tunnel runs'!$X:$X,$A17&amp;"|"&amp;$B17&amp;"|"&amp;$C17&amp;"|"&amp;E$4,'Tunnel runs'!$P:$P)))</f>
        <v/>
      </c>
      <c r="F17" s="17">
        <f>IF($A17="","",IF(COUNTIF('Tunnel runs'!$X:$X,$A17&amp;"|"&amp;$B17&amp;"|"&amp;$C17&amp;"|"&amp;F$4)=0,"",AVERAGEIF('Tunnel runs'!$X:$X,$A17&amp;"|"&amp;$B17&amp;"|"&amp;$C17&amp;"|"&amp;F$4,'Tunnel runs'!$P:$P)))</f>
        <v/>
      </c>
      <c r="G17" s="24">
        <f>IF($A17="","",IF(COUNT(D17:F17)=3,"Yes","No"))</f>
        <v/>
      </c>
      <c r="H17" s="17">
        <f>IF(G17="Yes",SUM(D17:F17),"")</f>
        <v/>
      </c>
      <c r="I17" s="18">
        <f>IF($A17="","",IF(COUNTIF('Tunnel runs'!$X:$X,$A17&amp;"|"&amp;$B17&amp;"|"&amp;$C17&amp;"|*")=0,"",AVERAGEIF('Tunnel runs'!$X:$X,$A17&amp;"|"&amp;$B17&amp;"|"&amp;$C17&amp;"|*",'Tunnel runs'!$O:$O)))</f>
        <v/>
      </c>
      <c r="J17" s="20">
        <f>IF(COUNTIF(Designs!$A:$A,$A17)=0,"",INDEX(Designs!$D:$D,MATCH($A17,Designs!$A:$A,0)))</f>
        <v/>
      </c>
      <c r="K17" s="17">
        <f>IF(OR(H17="",I17="",J17=""),"",H17/(I17*J17))</f>
        <v/>
      </c>
      <c r="L17" s="17">
        <f>IF($A17="","",IF(COUNTIF('Tunnel runs'!$X:$X,$A17&amp;"|"&amp;$B17&amp;"|0|"&amp;E$4)=0,"",AVERAGEIF('Tunnel runs'!$X:$X,$A17&amp;"|"&amp;$B17&amp;"|0|"&amp;E$4,'Tunnel runs'!$P:$P)))</f>
        <v/>
      </c>
      <c r="M17" s="17">
        <f>IF(OR(E17="",L17=""),"",E17-L17)</f>
        <v/>
      </c>
      <c r="N17" s="17">
        <f>IF(OR(M17="",I17="",J17=""),"",M17/(I17*J17))</f>
        <v/>
      </c>
    </row>
    <row r="18">
      <c r="D18" s="17">
        <f>IF($A18="","",IF(COUNTIF('Tunnel runs'!$X:$X,$A18&amp;"|"&amp;$B18&amp;"|"&amp;$C18&amp;"|"&amp;D$4)=0,"",AVERAGEIF('Tunnel runs'!$X:$X,$A18&amp;"|"&amp;$B18&amp;"|"&amp;$C18&amp;"|"&amp;D$4,'Tunnel runs'!$P:$P)))</f>
        <v/>
      </c>
      <c r="E18" s="17">
        <f>IF($A18="","",IF(COUNTIF('Tunnel runs'!$X:$X,$A18&amp;"|"&amp;$B18&amp;"|"&amp;$C18&amp;"|"&amp;E$4)=0,"",AVERAGEIF('Tunnel runs'!$X:$X,$A18&amp;"|"&amp;$B18&amp;"|"&amp;$C18&amp;"|"&amp;E$4,'Tunnel runs'!$P:$P)))</f>
        <v/>
      </c>
      <c r="F18" s="17">
        <f>IF($A18="","",IF(COUNTIF('Tunnel runs'!$X:$X,$A18&amp;"|"&amp;$B18&amp;"|"&amp;$C18&amp;"|"&amp;F$4)=0,"",AVERAGEIF('Tunnel runs'!$X:$X,$A18&amp;"|"&amp;$B18&amp;"|"&amp;$C18&amp;"|"&amp;F$4,'Tunnel runs'!$P:$P)))</f>
        <v/>
      </c>
      <c r="G18" s="24">
        <f>IF($A18="","",IF(COUNT(D18:F18)=3,"Yes","No"))</f>
        <v/>
      </c>
      <c r="H18" s="17">
        <f>IF(G18="Yes",SUM(D18:F18),"")</f>
        <v/>
      </c>
      <c r="I18" s="18">
        <f>IF($A18="","",IF(COUNTIF('Tunnel runs'!$X:$X,$A18&amp;"|"&amp;$B18&amp;"|"&amp;$C18&amp;"|*")=0,"",AVERAGEIF('Tunnel runs'!$X:$X,$A18&amp;"|"&amp;$B18&amp;"|"&amp;$C18&amp;"|*",'Tunnel runs'!$O:$O)))</f>
        <v/>
      </c>
      <c r="J18" s="20">
        <f>IF(COUNTIF(Designs!$A:$A,$A18)=0,"",INDEX(Designs!$D:$D,MATCH($A18,Designs!$A:$A,0)))</f>
        <v/>
      </c>
      <c r="K18" s="17">
        <f>IF(OR(H18="",I18="",J18=""),"",H18/(I18*J18))</f>
        <v/>
      </c>
      <c r="L18" s="17">
        <f>IF($A18="","",IF(COUNTIF('Tunnel runs'!$X:$X,$A18&amp;"|"&amp;$B18&amp;"|0|"&amp;E$4)=0,"",AVERAGEIF('Tunnel runs'!$X:$X,$A18&amp;"|"&amp;$B18&amp;"|0|"&amp;E$4,'Tunnel runs'!$P:$P)))</f>
        <v/>
      </c>
      <c r="M18" s="17">
        <f>IF(OR(E18="",L18=""),"",E18-L18)</f>
        <v/>
      </c>
      <c r="N18" s="17">
        <f>IF(OR(M18="",I18="",J18=""),"",M18/(I18*J18))</f>
        <v/>
      </c>
    </row>
    <row r="19">
      <c r="D19" s="17">
        <f>IF($A19="","",IF(COUNTIF('Tunnel runs'!$X:$X,$A19&amp;"|"&amp;$B19&amp;"|"&amp;$C19&amp;"|"&amp;D$4)=0,"",AVERAGEIF('Tunnel runs'!$X:$X,$A19&amp;"|"&amp;$B19&amp;"|"&amp;$C19&amp;"|"&amp;D$4,'Tunnel runs'!$P:$P)))</f>
        <v/>
      </c>
      <c r="E19" s="17">
        <f>IF($A19="","",IF(COUNTIF('Tunnel runs'!$X:$X,$A19&amp;"|"&amp;$B19&amp;"|"&amp;$C19&amp;"|"&amp;E$4)=0,"",AVERAGEIF('Tunnel runs'!$X:$X,$A19&amp;"|"&amp;$B19&amp;"|"&amp;$C19&amp;"|"&amp;E$4,'Tunnel runs'!$P:$P)))</f>
        <v/>
      </c>
      <c r="F19" s="17">
        <f>IF($A19="","",IF(COUNTIF('Tunnel runs'!$X:$X,$A19&amp;"|"&amp;$B19&amp;"|"&amp;$C19&amp;"|"&amp;F$4)=0,"",AVERAGEIF('Tunnel runs'!$X:$X,$A19&amp;"|"&amp;$B19&amp;"|"&amp;$C19&amp;"|"&amp;F$4,'Tunnel runs'!$P:$P)))</f>
        <v/>
      </c>
      <c r="G19" s="24">
        <f>IF($A19="","",IF(COUNT(D19:F19)=3,"Yes","No"))</f>
        <v/>
      </c>
      <c r="H19" s="17">
        <f>IF(G19="Yes",SUM(D19:F19),"")</f>
        <v/>
      </c>
      <c r="I19" s="18">
        <f>IF($A19="","",IF(COUNTIF('Tunnel runs'!$X:$X,$A19&amp;"|"&amp;$B19&amp;"|"&amp;$C19&amp;"|*")=0,"",AVERAGEIF('Tunnel runs'!$X:$X,$A19&amp;"|"&amp;$B19&amp;"|"&amp;$C19&amp;"|*",'Tunnel runs'!$O:$O)))</f>
        <v/>
      </c>
      <c r="J19" s="20">
        <f>IF(COUNTIF(Designs!$A:$A,$A19)=0,"",INDEX(Designs!$D:$D,MATCH($A19,Designs!$A:$A,0)))</f>
        <v/>
      </c>
      <c r="K19" s="17">
        <f>IF(OR(H19="",I19="",J19=""),"",H19/(I19*J19))</f>
        <v/>
      </c>
      <c r="L19" s="17">
        <f>IF($A19="","",IF(COUNTIF('Tunnel runs'!$X:$X,$A19&amp;"|"&amp;$B19&amp;"|0|"&amp;E$4)=0,"",AVERAGEIF('Tunnel runs'!$X:$X,$A19&amp;"|"&amp;$B19&amp;"|0|"&amp;E$4,'Tunnel runs'!$P:$P)))</f>
        <v/>
      </c>
      <c r="M19" s="17">
        <f>IF(OR(E19="",L19=""),"",E19-L19)</f>
        <v/>
      </c>
      <c r="N19" s="17">
        <f>IF(OR(M19="",I19="",J19=""),"",M19/(I19*J19))</f>
        <v/>
      </c>
    </row>
    <row r="20">
      <c r="D20" s="17">
        <f>IF($A20="","",IF(COUNTIF('Tunnel runs'!$X:$X,$A20&amp;"|"&amp;$B20&amp;"|"&amp;$C20&amp;"|"&amp;D$4)=0,"",AVERAGEIF('Tunnel runs'!$X:$X,$A20&amp;"|"&amp;$B20&amp;"|"&amp;$C20&amp;"|"&amp;D$4,'Tunnel runs'!$P:$P)))</f>
        <v/>
      </c>
      <c r="E20" s="17">
        <f>IF($A20="","",IF(COUNTIF('Tunnel runs'!$X:$X,$A20&amp;"|"&amp;$B20&amp;"|"&amp;$C20&amp;"|"&amp;E$4)=0,"",AVERAGEIF('Tunnel runs'!$X:$X,$A20&amp;"|"&amp;$B20&amp;"|"&amp;$C20&amp;"|"&amp;E$4,'Tunnel runs'!$P:$P)))</f>
        <v/>
      </c>
      <c r="F20" s="17">
        <f>IF($A20="","",IF(COUNTIF('Tunnel runs'!$X:$X,$A20&amp;"|"&amp;$B20&amp;"|"&amp;$C20&amp;"|"&amp;F$4)=0,"",AVERAGEIF('Tunnel runs'!$X:$X,$A20&amp;"|"&amp;$B20&amp;"|"&amp;$C20&amp;"|"&amp;F$4,'Tunnel runs'!$P:$P)))</f>
        <v/>
      </c>
      <c r="G20" s="24">
        <f>IF($A20="","",IF(COUNT(D20:F20)=3,"Yes","No"))</f>
        <v/>
      </c>
      <c r="H20" s="17">
        <f>IF(G20="Yes",SUM(D20:F20),"")</f>
        <v/>
      </c>
      <c r="I20" s="18">
        <f>IF($A20="","",IF(COUNTIF('Tunnel runs'!$X:$X,$A20&amp;"|"&amp;$B20&amp;"|"&amp;$C20&amp;"|*")=0,"",AVERAGEIF('Tunnel runs'!$X:$X,$A20&amp;"|"&amp;$B20&amp;"|"&amp;$C20&amp;"|*",'Tunnel runs'!$O:$O)))</f>
        <v/>
      </c>
      <c r="J20" s="20">
        <f>IF(COUNTIF(Designs!$A:$A,$A20)=0,"",INDEX(Designs!$D:$D,MATCH($A20,Designs!$A:$A,0)))</f>
        <v/>
      </c>
      <c r="K20" s="17">
        <f>IF(OR(H20="",I20="",J20=""),"",H20/(I20*J20))</f>
        <v/>
      </c>
      <c r="L20" s="17">
        <f>IF($A20="","",IF(COUNTIF('Tunnel runs'!$X:$X,$A20&amp;"|"&amp;$B20&amp;"|0|"&amp;E$4)=0,"",AVERAGEIF('Tunnel runs'!$X:$X,$A20&amp;"|"&amp;$B20&amp;"|0|"&amp;E$4,'Tunnel runs'!$P:$P)))</f>
        <v/>
      </c>
      <c r="M20" s="17">
        <f>IF(OR(E20="",L20=""),"",E20-L20)</f>
        <v/>
      </c>
      <c r="N20" s="17">
        <f>IF(OR(M20="",I20="",J20=""),"",M20/(I20*J20))</f>
        <v/>
      </c>
    </row>
    <row r="21">
      <c r="D21" s="17">
        <f>IF($A21="","",IF(COUNTIF('Tunnel runs'!$X:$X,$A21&amp;"|"&amp;$B21&amp;"|"&amp;$C21&amp;"|"&amp;D$4)=0,"",AVERAGEIF('Tunnel runs'!$X:$X,$A21&amp;"|"&amp;$B21&amp;"|"&amp;$C21&amp;"|"&amp;D$4,'Tunnel runs'!$P:$P)))</f>
        <v/>
      </c>
      <c r="E21" s="17">
        <f>IF($A21="","",IF(COUNTIF('Tunnel runs'!$X:$X,$A21&amp;"|"&amp;$B21&amp;"|"&amp;$C21&amp;"|"&amp;E$4)=0,"",AVERAGEIF('Tunnel runs'!$X:$X,$A21&amp;"|"&amp;$B21&amp;"|"&amp;$C21&amp;"|"&amp;E$4,'Tunnel runs'!$P:$P)))</f>
        <v/>
      </c>
      <c r="F21" s="17">
        <f>IF($A21="","",IF(COUNTIF('Tunnel runs'!$X:$X,$A21&amp;"|"&amp;$B21&amp;"|"&amp;$C21&amp;"|"&amp;F$4)=0,"",AVERAGEIF('Tunnel runs'!$X:$X,$A21&amp;"|"&amp;$B21&amp;"|"&amp;$C21&amp;"|"&amp;F$4,'Tunnel runs'!$P:$P)))</f>
        <v/>
      </c>
      <c r="G21" s="24">
        <f>IF($A21="","",IF(COUNT(D21:F21)=3,"Yes","No"))</f>
        <v/>
      </c>
      <c r="H21" s="17">
        <f>IF(G21="Yes",SUM(D21:F21),"")</f>
        <v/>
      </c>
      <c r="I21" s="18">
        <f>IF($A21="","",IF(COUNTIF('Tunnel runs'!$X:$X,$A21&amp;"|"&amp;$B21&amp;"|"&amp;$C21&amp;"|*")=0,"",AVERAGEIF('Tunnel runs'!$X:$X,$A21&amp;"|"&amp;$B21&amp;"|"&amp;$C21&amp;"|*",'Tunnel runs'!$O:$O)))</f>
        <v/>
      </c>
      <c r="J21" s="20">
        <f>IF(COUNTIF(Designs!$A:$A,$A21)=0,"",INDEX(Designs!$D:$D,MATCH($A21,Designs!$A:$A,0)))</f>
        <v/>
      </c>
      <c r="K21" s="17">
        <f>IF(OR(H21="",I21="",J21=""),"",H21/(I21*J21))</f>
        <v/>
      </c>
      <c r="L21" s="17">
        <f>IF($A21="","",IF(COUNTIF('Tunnel runs'!$X:$X,$A21&amp;"|"&amp;$B21&amp;"|0|"&amp;E$4)=0,"",AVERAGEIF('Tunnel runs'!$X:$X,$A21&amp;"|"&amp;$B21&amp;"|0|"&amp;E$4,'Tunnel runs'!$P:$P)))</f>
        <v/>
      </c>
      <c r="M21" s="17">
        <f>IF(OR(E21="",L21=""),"",E21-L21)</f>
        <v/>
      </c>
      <c r="N21" s="17">
        <f>IF(OR(M21="",I21="",J21=""),"",M21/(I21*J21))</f>
        <v/>
      </c>
    </row>
    <row r="22">
      <c r="D22" s="17">
        <f>IF($A22="","",IF(COUNTIF('Tunnel runs'!$X:$X,$A22&amp;"|"&amp;$B22&amp;"|"&amp;$C22&amp;"|"&amp;D$4)=0,"",AVERAGEIF('Tunnel runs'!$X:$X,$A22&amp;"|"&amp;$B22&amp;"|"&amp;$C22&amp;"|"&amp;D$4,'Tunnel runs'!$P:$P)))</f>
        <v/>
      </c>
      <c r="E22" s="17">
        <f>IF($A22="","",IF(COUNTIF('Tunnel runs'!$X:$X,$A22&amp;"|"&amp;$B22&amp;"|"&amp;$C22&amp;"|"&amp;E$4)=0,"",AVERAGEIF('Tunnel runs'!$X:$X,$A22&amp;"|"&amp;$B22&amp;"|"&amp;$C22&amp;"|"&amp;E$4,'Tunnel runs'!$P:$P)))</f>
        <v/>
      </c>
      <c r="F22" s="17">
        <f>IF($A22="","",IF(COUNTIF('Tunnel runs'!$X:$X,$A22&amp;"|"&amp;$B22&amp;"|"&amp;$C22&amp;"|"&amp;F$4)=0,"",AVERAGEIF('Tunnel runs'!$X:$X,$A22&amp;"|"&amp;$B22&amp;"|"&amp;$C22&amp;"|"&amp;F$4,'Tunnel runs'!$P:$P)))</f>
        <v/>
      </c>
      <c r="G22" s="24">
        <f>IF($A22="","",IF(COUNT(D22:F22)=3,"Yes","No"))</f>
        <v/>
      </c>
      <c r="H22" s="17">
        <f>IF(G22="Yes",SUM(D22:F22),"")</f>
        <v/>
      </c>
      <c r="I22" s="18">
        <f>IF($A22="","",IF(COUNTIF('Tunnel runs'!$X:$X,$A22&amp;"|"&amp;$B22&amp;"|"&amp;$C22&amp;"|*")=0,"",AVERAGEIF('Tunnel runs'!$X:$X,$A22&amp;"|"&amp;$B22&amp;"|"&amp;$C22&amp;"|*",'Tunnel runs'!$O:$O)))</f>
        <v/>
      </c>
      <c r="J22" s="20">
        <f>IF(COUNTIF(Designs!$A:$A,$A22)=0,"",INDEX(Designs!$D:$D,MATCH($A22,Designs!$A:$A,0)))</f>
        <v/>
      </c>
      <c r="K22" s="17">
        <f>IF(OR(H22="",I22="",J22=""),"",H22/(I22*J22))</f>
        <v/>
      </c>
      <c r="L22" s="17">
        <f>IF($A22="","",IF(COUNTIF('Tunnel runs'!$X:$X,$A22&amp;"|"&amp;$B22&amp;"|0|"&amp;E$4)=0,"",AVERAGEIF('Tunnel runs'!$X:$X,$A22&amp;"|"&amp;$B22&amp;"|0|"&amp;E$4,'Tunnel runs'!$P:$P)))</f>
        <v/>
      </c>
      <c r="M22" s="17">
        <f>IF(OR(E22="",L22=""),"",E22-L22)</f>
        <v/>
      </c>
      <c r="N22" s="17">
        <f>IF(OR(M22="",I22="",J22=""),"",M22/(I22*J22))</f>
        <v/>
      </c>
    </row>
    <row r="23">
      <c r="D23" s="17">
        <f>IF($A23="","",IF(COUNTIF('Tunnel runs'!$X:$X,$A23&amp;"|"&amp;$B23&amp;"|"&amp;$C23&amp;"|"&amp;D$4)=0,"",AVERAGEIF('Tunnel runs'!$X:$X,$A23&amp;"|"&amp;$B23&amp;"|"&amp;$C23&amp;"|"&amp;D$4,'Tunnel runs'!$P:$P)))</f>
        <v/>
      </c>
      <c r="E23" s="17">
        <f>IF($A23="","",IF(COUNTIF('Tunnel runs'!$X:$X,$A23&amp;"|"&amp;$B23&amp;"|"&amp;$C23&amp;"|"&amp;E$4)=0,"",AVERAGEIF('Tunnel runs'!$X:$X,$A23&amp;"|"&amp;$B23&amp;"|"&amp;$C23&amp;"|"&amp;E$4,'Tunnel runs'!$P:$P)))</f>
        <v/>
      </c>
      <c r="F23" s="17">
        <f>IF($A23="","",IF(COUNTIF('Tunnel runs'!$X:$X,$A23&amp;"|"&amp;$B23&amp;"|"&amp;$C23&amp;"|"&amp;F$4)=0,"",AVERAGEIF('Tunnel runs'!$X:$X,$A23&amp;"|"&amp;$B23&amp;"|"&amp;$C23&amp;"|"&amp;F$4,'Tunnel runs'!$P:$P)))</f>
        <v/>
      </c>
      <c r="G23" s="24">
        <f>IF($A23="","",IF(COUNT(D23:F23)=3,"Yes","No"))</f>
        <v/>
      </c>
      <c r="H23" s="17">
        <f>IF(G23="Yes",SUM(D23:F23),"")</f>
        <v/>
      </c>
      <c r="I23" s="18">
        <f>IF($A23="","",IF(COUNTIF('Tunnel runs'!$X:$X,$A23&amp;"|"&amp;$B23&amp;"|"&amp;$C23&amp;"|*")=0,"",AVERAGEIF('Tunnel runs'!$X:$X,$A23&amp;"|"&amp;$B23&amp;"|"&amp;$C23&amp;"|*",'Tunnel runs'!$O:$O)))</f>
        <v/>
      </c>
      <c r="J23" s="20">
        <f>IF(COUNTIF(Designs!$A:$A,$A23)=0,"",INDEX(Designs!$D:$D,MATCH($A23,Designs!$A:$A,0)))</f>
        <v/>
      </c>
      <c r="K23" s="17">
        <f>IF(OR(H23="",I23="",J23=""),"",H23/(I23*J23))</f>
        <v/>
      </c>
      <c r="L23" s="17">
        <f>IF($A23="","",IF(COUNTIF('Tunnel runs'!$X:$X,$A23&amp;"|"&amp;$B23&amp;"|0|"&amp;E$4)=0,"",AVERAGEIF('Tunnel runs'!$X:$X,$A23&amp;"|"&amp;$B23&amp;"|0|"&amp;E$4,'Tunnel runs'!$P:$P)))</f>
        <v/>
      </c>
      <c r="M23" s="17">
        <f>IF(OR(E23="",L23=""),"",E23-L23)</f>
        <v/>
      </c>
      <c r="N23" s="17">
        <f>IF(OR(M23="",I23="",J23=""),"",M23/(I23*J23))</f>
        <v/>
      </c>
    </row>
    <row r="24">
      <c r="D24" s="17">
        <f>IF($A24="","",IF(COUNTIF('Tunnel runs'!$X:$X,$A24&amp;"|"&amp;$B24&amp;"|"&amp;$C24&amp;"|"&amp;D$4)=0,"",AVERAGEIF('Tunnel runs'!$X:$X,$A24&amp;"|"&amp;$B24&amp;"|"&amp;$C24&amp;"|"&amp;D$4,'Tunnel runs'!$P:$P)))</f>
        <v/>
      </c>
      <c r="E24" s="17">
        <f>IF($A24="","",IF(COUNTIF('Tunnel runs'!$X:$X,$A24&amp;"|"&amp;$B24&amp;"|"&amp;$C24&amp;"|"&amp;E$4)=0,"",AVERAGEIF('Tunnel runs'!$X:$X,$A24&amp;"|"&amp;$B24&amp;"|"&amp;$C24&amp;"|"&amp;E$4,'Tunnel runs'!$P:$P)))</f>
        <v/>
      </c>
      <c r="F24" s="17">
        <f>IF($A24="","",IF(COUNTIF('Tunnel runs'!$X:$X,$A24&amp;"|"&amp;$B24&amp;"|"&amp;$C24&amp;"|"&amp;F$4)=0,"",AVERAGEIF('Tunnel runs'!$X:$X,$A24&amp;"|"&amp;$B24&amp;"|"&amp;$C24&amp;"|"&amp;F$4,'Tunnel runs'!$P:$P)))</f>
        <v/>
      </c>
      <c r="G24" s="24">
        <f>IF($A24="","",IF(COUNT(D24:F24)=3,"Yes","No"))</f>
        <v/>
      </c>
      <c r="H24" s="17">
        <f>IF(G24="Yes",SUM(D24:F24),"")</f>
        <v/>
      </c>
      <c r="I24" s="18">
        <f>IF($A24="","",IF(COUNTIF('Tunnel runs'!$X:$X,$A24&amp;"|"&amp;$B24&amp;"|"&amp;$C24&amp;"|*")=0,"",AVERAGEIF('Tunnel runs'!$X:$X,$A24&amp;"|"&amp;$B24&amp;"|"&amp;$C24&amp;"|*",'Tunnel runs'!$O:$O)))</f>
        <v/>
      </c>
      <c r="J24" s="20">
        <f>IF(COUNTIF(Designs!$A:$A,$A24)=0,"",INDEX(Designs!$D:$D,MATCH($A24,Designs!$A:$A,0)))</f>
        <v/>
      </c>
      <c r="K24" s="17">
        <f>IF(OR(H24="",I24="",J24=""),"",H24/(I24*J24))</f>
        <v/>
      </c>
      <c r="L24" s="17">
        <f>IF($A24="","",IF(COUNTIF('Tunnel runs'!$X:$X,$A24&amp;"|"&amp;$B24&amp;"|0|"&amp;E$4)=0,"",AVERAGEIF('Tunnel runs'!$X:$X,$A24&amp;"|"&amp;$B24&amp;"|0|"&amp;E$4,'Tunnel runs'!$P:$P)))</f>
        <v/>
      </c>
      <c r="M24" s="17">
        <f>IF(OR(E24="",L24=""),"",E24-L24)</f>
        <v/>
      </c>
      <c r="N24" s="17">
        <f>IF(OR(M24="",I24="",J24=""),"",M24/(I24*J24))</f>
        <v/>
      </c>
    </row>
  </sheetData>
  <mergeCells count="1">
    <mergeCell ref="D3:F3"/>
  </mergeCells>
  <conditionalFormatting sqref="G5:G24">
    <cfRule type="expression" priority="1" dxfId="1">
      <formula>$G5="No"</formula>
    </cfRule>
  </conditionalFormatting>
  <dataValidations count="2">
    <dataValidation sqref="A5:A24" showDropDown="0" showInputMessage="0" showErrorMessage="0" allowBlank="1" type="list">
      <formula1>=Designs!$A$5:$A$14</formula1>
    </dataValidation>
    <dataValidation sqref="C5:C24" showDropDown="0" showInputMessage="0" showErrorMessage="0" allowBlank="1" type="list">
      <formula1>"0,25,50,75,100"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2" customWidth="1" min="5" max="5"/>
    <col width="12" customWidth="1" min="6" max="6"/>
    <col width="12" customWidth="1" min="7" max="7"/>
    <col width="13" customWidth="1" min="8" max="8"/>
    <col width="14" customWidth="1" min="9" max="9"/>
    <col width="11" customWidth="1" min="10" max="10"/>
    <col width="26" customWidth="1" min="11" max="11"/>
  </cols>
  <sheetData>
    <row r="1">
      <c r="A1" s="1" t="inlineStr">
        <is>
          <t>Summary by design</t>
        </is>
      </c>
    </row>
    <row r="2">
      <c r="A2" s="2" t="inlineStr">
        <is>
          <t>Drag coefficients are averaged over every speed with all three sections tested.</t>
        </is>
      </c>
    </row>
    <row r="4">
      <c r="A4" s="3" t="inlineStr">
        <is>
          <t>Whole-rocket drag coefficient by brake deployment</t>
        </is>
      </c>
    </row>
    <row r="5" ht="42" customHeight="1">
      <c r="A5" s="13" t="inlineStr">
        <is>
          <t>Design ID</t>
        </is>
      </c>
      <c r="B5" s="26" t="n">
        <v>0</v>
      </c>
      <c r="C5" s="26" t="n">
        <v>25</v>
      </c>
      <c r="D5" s="26" t="n">
        <v>50</v>
      </c>
      <c r="E5" s="26" t="n">
        <v>75</v>
      </c>
      <c r="F5" s="26" t="n">
        <v>100</v>
      </c>
      <c r="G5" s="13" t="inlineStr">
        <is>
          <t>Brake drag coefficient added at 100%</t>
        </is>
      </c>
      <c r="H5" s="13" t="inlineStr">
        <is>
          <t>Tunnel runs logged</t>
        </is>
      </c>
    </row>
    <row r="6">
      <c r="A6" s="27">
        <f>IF(Designs!$A5="","",Designs!$A5)</f>
        <v/>
      </c>
      <c r="B6" s="28">
        <f>IF($A6="","",IF(COUNTIFS(Combined!$A:$A,$A6,Combined!$C:$C,B$5,Combined!$G:$G,"Yes")=0,"",AVERAGEIFS(Combined!$K:$K,Combined!$A:$A,$A6,Combined!$C:$C,B$5,Combined!$G:$G,"Yes")))</f>
        <v/>
      </c>
      <c r="C6" s="28">
        <f>IF($A6="","",IF(COUNTIFS(Combined!$A:$A,$A6,Combined!$C:$C,C$5,Combined!$G:$G,"Yes")=0,"",AVERAGEIFS(Combined!$K:$K,Combined!$A:$A,$A6,Combined!$C:$C,C$5,Combined!$G:$G,"Yes")))</f>
        <v/>
      </c>
      <c r="D6" s="28">
        <f>IF($A6="","",IF(COUNTIFS(Combined!$A:$A,$A6,Combined!$C:$C,D$5,Combined!$G:$G,"Yes")=0,"",AVERAGEIFS(Combined!$K:$K,Combined!$A:$A,$A6,Combined!$C:$C,D$5,Combined!$G:$G,"Yes")))</f>
        <v/>
      </c>
      <c r="E6" s="28">
        <f>IF($A6="","",IF(COUNTIFS(Combined!$A:$A,$A6,Combined!$C:$C,E$5,Combined!$G:$G,"Yes")=0,"",AVERAGEIFS(Combined!$K:$K,Combined!$A:$A,$A6,Combined!$C:$C,E$5,Combined!$G:$G,"Yes")))</f>
        <v/>
      </c>
      <c r="F6" s="28">
        <f>IF($A6="","",IF(COUNTIFS(Combined!$A:$A,$A6,Combined!$C:$C,F$5,Combined!$G:$G,"Yes")=0,"",AVERAGEIFS(Combined!$K:$K,Combined!$A:$A,$A6,Combined!$C:$C,F$5,Combined!$G:$G,"Yes")))</f>
        <v/>
      </c>
      <c r="G6" s="28">
        <f>IF($A6="","",IF(COUNTIFS(Combined!$A:$A,$A6,Combined!$C:$C,100,Combined!$N:$N,"&gt;-1E+300")=0,"",AVERAGEIFS(Combined!$N:$N,Combined!$A:$A,$A6,Combined!$C:$C,100,Combined!$N:$N,"&gt;-1E+300")))</f>
        <v/>
      </c>
      <c r="H6" s="6">
        <f>IF($A6="","",COUNTIF('Tunnel runs'!$C:$C,$A6))</f>
        <v/>
      </c>
    </row>
    <row r="7">
      <c r="A7" s="27">
        <f>IF(Designs!$A6="","",Designs!$A6)</f>
        <v/>
      </c>
      <c r="B7" s="28">
        <f>IF($A7="","",IF(COUNTIFS(Combined!$A:$A,$A7,Combined!$C:$C,B$5,Combined!$G:$G,"Yes")=0,"",AVERAGEIFS(Combined!$K:$K,Combined!$A:$A,$A7,Combined!$C:$C,B$5,Combined!$G:$G,"Yes")))</f>
        <v/>
      </c>
      <c r="C7" s="28">
        <f>IF($A7="","",IF(COUNTIFS(Combined!$A:$A,$A7,Combined!$C:$C,C$5,Combined!$G:$G,"Yes")=0,"",AVERAGEIFS(Combined!$K:$K,Combined!$A:$A,$A7,Combined!$C:$C,C$5,Combined!$G:$G,"Yes")))</f>
        <v/>
      </c>
      <c r="D7" s="28">
        <f>IF($A7="","",IF(COUNTIFS(Combined!$A:$A,$A7,Combined!$C:$C,D$5,Combined!$G:$G,"Yes")=0,"",AVERAGEIFS(Combined!$K:$K,Combined!$A:$A,$A7,Combined!$C:$C,D$5,Combined!$G:$G,"Yes")))</f>
        <v/>
      </c>
      <c r="E7" s="28">
        <f>IF($A7="","",IF(COUNTIFS(Combined!$A:$A,$A7,Combined!$C:$C,E$5,Combined!$G:$G,"Yes")=0,"",AVERAGEIFS(Combined!$K:$K,Combined!$A:$A,$A7,Combined!$C:$C,E$5,Combined!$G:$G,"Yes")))</f>
        <v/>
      </c>
      <c r="F7" s="28">
        <f>IF($A7="","",IF(COUNTIFS(Combined!$A:$A,$A7,Combined!$C:$C,F$5,Combined!$G:$G,"Yes")=0,"",AVERAGEIFS(Combined!$K:$K,Combined!$A:$A,$A7,Combined!$C:$C,F$5,Combined!$G:$G,"Yes")))</f>
        <v/>
      </c>
      <c r="G7" s="28">
        <f>IF($A7="","",IF(COUNTIFS(Combined!$A:$A,$A7,Combined!$C:$C,100,Combined!$N:$N,"&gt;-1E+300")=0,"",AVERAGEIFS(Combined!$N:$N,Combined!$A:$A,$A7,Combined!$C:$C,100,Combined!$N:$N,"&gt;-1E+300")))</f>
        <v/>
      </c>
      <c r="H7" s="6">
        <f>IF($A7="","",COUNTIF('Tunnel runs'!$C:$C,$A7))</f>
        <v/>
      </c>
    </row>
    <row r="8">
      <c r="A8" s="27">
        <f>IF(Designs!$A7="","",Designs!$A7)</f>
        <v/>
      </c>
      <c r="B8" s="28">
        <f>IF($A8="","",IF(COUNTIFS(Combined!$A:$A,$A8,Combined!$C:$C,B$5,Combined!$G:$G,"Yes")=0,"",AVERAGEIFS(Combined!$K:$K,Combined!$A:$A,$A8,Combined!$C:$C,B$5,Combined!$G:$G,"Yes")))</f>
        <v/>
      </c>
      <c r="C8" s="28">
        <f>IF($A8="","",IF(COUNTIFS(Combined!$A:$A,$A8,Combined!$C:$C,C$5,Combined!$G:$G,"Yes")=0,"",AVERAGEIFS(Combined!$K:$K,Combined!$A:$A,$A8,Combined!$C:$C,C$5,Combined!$G:$G,"Yes")))</f>
        <v/>
      </c>
      <c r="D8" s="28">
        <f>IF($A8="","",IF(COUNTIFS(Combined!$A:$A,$A8,Combined!$C:$C,D$5,Combined!$G:$G,"Yes")=0,"",AVERAGEIFS(Combined!$K:$K,Combined!$A:$A,$A8,Combined!$C:$C,D$5,Combined!$G:$G,"Yes")))</f>
        <v/>
      </c>
      <c r="E8" s="28">
        <f>IF($A8="","",IF(COUNTIFS(Combined!$A:$A,$A8,Combined!$C:$C,E$5,Combined!$G:$G,"Yes")=0,"",AVERAGEIFS(Combined!$K:$K,Combined!$A:$A,$A8,Combined!$C:$C,E$5,Combined!$G:$G,"Yes")))</f>
        <v/>
      </c>
      <c r="F8" s="28">
        <f>IF($A8="","",IF(COUNTIFS(Combined!$A:$A,$A8,Combined!$C:$C,F$5,Combined!$G:$G,"Yes")=0,"",AVERAGEIFS(Combined!$K:$K,Combined!$A:$A,$A8,Combined!$C:$C,F$5,Combined!$G:$G,"Yes")))</f>
        <v/>
      </c>
      <c r="G8" s="28">
        <f>IF($A8="","",IF(COUNTIFS(Combined!$A:$A,$A8,Combined!$C:$C,100,Combined!$N:$N,"&gt;-1E+300")=0,"",AVERAGEIFS(Combined!$N:$N,Combined!$A:$A,$A8,Combined!$C:$C,100,Combined!$N:$N,"&gt;-1E+300")))</f>
        <v/>
      </c>
      <c r="H8" s="6">
        <f>IF($A8="","",COUNTIF('Tunnel runs'!$C:$C,$A8))</f>
        <v/>
      </c>
    </row>
    <row r="9">
      <c r="A9" s="27">
        <f>IF(Designs!$A8="","",Designs!$A8)</f>
        <v/>
      </c>
      <c r="B9" s="28">
        <f>IF($A9="","",IF(COUNTIFS(Combined!$A:$A,$A9,Combined!$C:$C,B$5,Combined!$G:$G,"Yes")=0,"",AVERAGEIFS(Combined!$K:$K,Combined!$A:$A,$A9,Combined!$C:$C,B$5,Combined!$G:$G,"Yes")))</f>
        <v/>
      </c>
      <c r="C9" s="28">
        <f>IF($A9="","",IF(COUNTIFS(Combined!$A:$A,$A9,Combined!$C:$C,C$5,Combined!$G:$G,"Yes")=0,"",AVERAGEIFS(Combined!$K:$K,Combined!$A:$A,$A9,Combined!$C:$C,C$5,Combined!$G:$G,"Yes")))</f>
        <v/>
      </c>
      <c r="D9" s="28">
        <f>IF($A9="","",IF(COUNTIFS(Combined!$A:$A,$A9,Combined!$C:$C,D$5,Combined!$G:$G,"Yes")=0,"",AVERAGEIFS(Combined!$K:$K,Combined!$A:$A,$A9,Combined!$C:$C,D$5,Combined!$G:$G,"Yes")))</f>
        <v/>
      </c>
      <c r="E9" s="28">
        <f>IF($A9="","",IF(COUNTIFS(Combined!$A:$A,$A9,Combined!$C:$C,E$5,Combined!$G:$G,"Yes")=0,"",AVERAGEIFS(Combined!$K:$K,Combined!$A:$A,$A9,Combined!$C:$C,E$5,Combined!$G:$G,"Yes")))</f>
        <v/>
      </c>
      <c r="F9" s="28">
        <f>IF($A9="","",IF(COUNTIFS(Combined!$A:$A,$A9,Combined!$C:$C,F$5,Combined!$G:$G,"Yes")=0,"",AVERAGEIFS(Combined!$K:$K,Combined!$A:$A,$A9,Combined!$C:$C,F$5,Combined!$G:$G,"Yes")))</f>
        <v/>
      </c>
      <c r="G9" s="28">
        <f>IF($A9="","",IF(COUNTIFS(Combined!$A:$A,$A9,Combined!$C:$C,100,Combined!$N:$N,"&gt;-1E+300")=0,"",AVERAGEIFS(Combined!$N:$N,Combined!$A:$A,$A9,Combined!$C:$C,100,Combined!$N:$N,"&gt;-1E+300")))</f>
        <v/>
      </c>
      <c r="H9" s="6">
        <f>IF($A9="","",COUNTIF('Tunnel runs'!$C:$C,$A9))</f>
        <v/>
      </c>
    </row>
    <row r="10">
      <c r="A10" s="27">
        <f>IF(Designs!$A9="","",Designs!$A9)</f>
        <v/>
      </c>
      <c r="B10" s="28">
        <f>IF($A10="","",IF(COUNTIFS(Combined!$A:$A,$A10,Combined!$C:$C,B$5,Combined!$G:$G,"Yes")=0,"",AVERAGEIFS(Combined!$K:$K,Combined!$A:$A,$A10,Combined!$C:$C,B$5,Combined!$G:$G,"Yes")))</f>
        <v/>
      </c>
      <c r="C10" s="28">
        <f>IF($A10="","",IF(COUNTIFS(Combined!$A:$A,$A10,Combined!$C:$C,C$5,Combined!$G:$G,"Yes")=0,"",AVERAGEIFS(Combined!$K:$K,Combined!$A:$A,$A10,Combined!$C:$C,C$5,Combined!$G:$G,"Yes")))</f>
        <v/>
      </c>
      <c r="D10" s="28">
        <f>IF($A10="","",IF(COUNTIFS(Combined!$A:$A,$A10,Combined!$C:$C,D$5,Combined!$G:$G,"Yes")=0,"",AVERAGEIFS(Combined!$K:$K,Combined!$A:$A,$A10,Combined!$C:$C,D$5,Combined!$G:$G,"Yes")))</f>
        <v/>
      </c>
      <c r="E10" s="28">
        <f>IF($A10="","",IF(COUNTIFS(Combined!$A:$A,$A10,Combined!$C:$C,E$5,Combined!$G:$G,"Yes")=0,"",AVERAGEIFS(Combined!$K:$K,Combined!$A:$A,$A10,Combined!$C:$C,E$5,Combined!$G:$G,"Yes")))</f>
        <v/>
      </c>
      <c r="F10" s="28">
        <f>IF($A10="","",IF(COUNTIFS(Combined!$A:$A,$A10,Combined!$C:$C,F$5,Combined!$G:$G,"Yes")=0,"",AVERAGEIFS(Combined!$K:$K,Combined!$A:$A,$A10,Combined!$C:$C,F$5,Combined!$G:$G,"Yes")))</f>
        <v/>
      </c>
      <c r="G10" s="28">
        <f>IF($A10="","",IF(COUNTIFS(Combined!$A:$A,$A10,Combined!$C:$C,100,Combined!$N:$N,"&gt;-1E+300")=0,"",AVERAGEIFS(Combined!$N:$N,Combined!$A:$A,$A10,Combined!$C:$C,100,Combined!$N:$N,"&gt;-1E+300")))</f>
        <v/>
      </c>
      <c r="H10" s="6">
        <f>IF($A10="","",COUNTIF('Tunnel runs'!$C:$C,$A10))</f>
        <v/>
      </c>
    </row>
    <row r="11">
      <c r="A11" s="27">
        <f>IF(Designs!$A10="","",Designs!$A10)</f>
        <v/>
      </c>
      <c r="B11" s="28">
        <f>IF($A11="","",IF(COUNTIFS(Combined!$A:$A,$A11,Combined!$C:$C,B$5,Combined!$G:$G,"Yes")=0,"",AVERAGEIFS(Combined!$K:$K,Combined!$A:$A,$A11,Combined!$C:$C,B$5,Combined!$G:$G,"Yes")))</f>
        <v/>
      </c>
      <c r="C11" s="28">
        <f>IF($A11="","",IF(COUNTIFS(Combined!$A:$A,$A11,Combined!$C:$C,C$5,Combined!$G:$G,"Yes")=0,"",AVERAGEIFS(Combined!$K:$K,Combined!$A:$A,$A11,Combined!$C:$C,C$5,Combined!$G:$G,"Yes")))</f>
        <v/>
      </c>
      <c r="D11" s="28">
        <f>IF($A11="","",IF(COUNTIFS(Combined!$A:$A,$A11,Combined!$C:$C,D$5,Combined!$G:$G,"Yes")=0,"",AVERAGEIFS(Combined!$K:$K,Combined!$A:$A,$A11,Combined!$C:$C,D$5,Combined!$G:$G,"Yes")))</f>
        <v/>
      </c>
      <c r="E11" s="28">
        <f>IF($A11="","",IF(COUNTIFS(Combined!$A:$A,$A11,Combined!$C:$C,E$5,Combined!$G:$G,"Yes")=0,"",AVERAGEIFS(Combined!$K:$K,Combined!$A:$A,$A11,Combined!$C:$C,E$5,Combined!$G:$G,"Yes")))</f>
        <v/>
      </c>
      <c r="F11" s="28">
        <f>IF($A11="","",IF(COUNTIFS(Combined!$A:$A,$A11,Combined!$C:$C,F$5,Combined!$G:$G,"Yes")=0,"",AVERAGEIFS(Combined!$K:$K,Combined!$A:$A,$A11,Combined!$C:$C,F$5,Combined!$G:$G,"Yes")))</f>
        <v/>
      </c>
      <c r="G11" s="28">
        <f>IF($A11="","",IF(COUNTIFS(Combined!$A:$A,$A11,Combined!$C:$C,100,Combined!$N:$N,"&gt;-1E+300")=0,"",AVERAGEIFS(Combined!$N:$N,Combined!$A:$A,$A11,Combined!$C:$C,100,Combined!$N:$N,"&gt;-1E+300")))</f>
        <v/>
      </c>
      <c r="H11" s="6">
        <f>IF($A11="","",COUNTIF('Tunnel runs'!$C:$C,$A11))</f>
        <v/>
      </c>
    </row>
    <row r="12">
      <c r="A12" s="27">
        <f>IF(Designs!$A11="","",Designs!$A11)</f>
        <v/>
      </c>
      <c r="B12" s="28">
        <f>IF($A12="","",IF(COUNTIFS(Combined!$A:$A,$A12,Combined!$C:$C,B$5,Combined!$G:$G,"Yes")=0,"",AVERAGEIFS(Combined!$K:$K,Combined!$A:$A,$A12,Combined!$C:$C,B$5,Combined!$G:$G,"Yes")))</f>
        <v/>
      </c>
      <c r="C12" s="28">
        <f>IF($A12="","",IF(COUNTIFS(Combined!$A:$A,$A12,Combined!$C:$C,C$5,Combined!$G:$G,"Yes")=0,"",AVERAGEIFS(Combined!$K:$K,Combined!$A:$A,$A12,Combined!$C:$C,C$5,Combined!$G:$G,"Yes")))</f>
        <v/>
      </c>
      <c r="D12" s="28">
        <f>IF($A12="","",IF(COUNTIFS(Combined!$A:$A,$A12,Combined!$C:$C,D$5,Combined!$G:$G,"Yes")=0,"",AVERAGEIFS(Combined!$K:$K,Combined!$A:$A,$A12,Combined!$C:$C,D$5,Combined!$G:$G,"Yes")))</f>
        <v/>
      </c>
      <c r="E12" s="28">
        <f>IF($A12="","",IF(COUNTIFS(Combined!$A:$A,$A12,Combined!$C:$C,E$5,Combined!$G:$G,"Yes")=0,"",AVERAGEIFS(Combined!$K:$K,Combined!$A:$A,$A12,Combined!$C:$C,E$5,Combined!$G:$G,"Yes")))</f>
        <v/>
      </c>
      <c r="F12" s="28">
        <f>IF($A12="","",IF(COUNTIFS(Combined!$A:$A,$A12,Combined!$C:$C,F$5,Combined!$G:$G,"Yes")=0,"",AVERAGEIFS(Combined!$K:$K,Combined!$A:$A,$A12,Combined!$C:$C,F$5,Combined!$G:$G,"Yes")))</f>
        <v/>
      </c>
      <c r="G12" s="28">
        <f>IF($A12="","",IF(COUNTIFS(Combined!$A:$A,$A12,Combined!$C:$C,100,Combined!$N:$N,"&gt;-1E+300")=0,"",AVERAGEIFS(Combined!$N:$N,Combined!$A:$A,$A12,Combined!$C:$C,100,Combined!$N:$N,"&gt;-1E+300")))</f>
        <v/>
      </c>
      <c r="H12" s="6">
        <f>IF($A12="","",COUNTIF('Tunnel runs'!$C:$C,$A12))</f>
        <v/>
      </c>
    </row>
    <row r="13">
      <c r="A13" s="27">
        <f>IF(Designs!$A12="","",Designs!$A12)</f>
        <v/>
      </c>
      <c r="B13" s="28">
        <f>IF($A13="","",IF(COUNTIFS(Combined!$A:$A,$A13,Combined!$C:$C,B$5,Combined!$G:$G,"Yes")=0,"",AVERAGEIFS(Combined!$K:$K,Combined!$A:$A,$A13,Combined!$C:$C,B$5,Combined!$G:$G,"Yes")))</f>
        <v/>
      </c>
      <c r="C13" s="28">
        <f>IF($A13="","",IF(COUNTIFS(Combined!$A:$A,$A13,Combined!$C:$C,C$5,Combined!$G:$G,"Yes")=0,"",AVERAGEIFS(Combined!$K:$K,Combined!$A:$A,$A13,Combined!$C:$C,C$5,Combined!$G:$G,"Yes")))</f>
        <v/>
      </c>
      <c r="D13" s="28">
        <f>IF($A13="","",IF(COUNTIFS(Combined!$A:$A,$A13,Combined!$C:$C,D$5,Combined!$G:$G,"Yes")=0,"",AVERAGEIFS(Combined!$K:$K,Combined!$A:$A,$A13,Combined!$C:$C,D$5,Combined!$G:$G,"Yes")))</f>
        <v/>
      </c>
      <c r="E13" s="28">
        <f>IF($A13="","",IF(COUNTIFS(Combined!$A:$A,$A13,Combined!$C:$C,E$5,Combined!$G:$G,"Yes")=0,"",AVERAGEIFS(Combined!$K:$K,Combined!$A:$A,$A13,Combined!$C:$C,E$5,Combined!$G:$G,"Yes")))</f>
        <v/>
      </c>
      <c r="F13" s="28">
        <f>IF($A13="","",IF(COUNTIFS(Combined!$A:$A,$A13,Combined!$C:$C,F$5,Combined!$G:$G,"Yes")=0,"",AVERAGEIFS(Combined!$K:$K,Combined!$A:$A,$A13,Combined!$C:$C,F$5,Combined!$G:$G,"Yes")))</f>
        <v/>
      </c>
      <c r="G13" s="28">
        <f>IF($A13="","",IF(COUNTIFS(Combined!$A:$A,$A13,Combined!$C:$C,100,Combined!$N:$N,"&gt;-1E+300")=0,"",AVERAGEIFS(Combined!$N:$N,Combined!$A:$A,$A13,Combined!$C:$C,100,Combined!$N:$N,"&gt;-1E+300")))</f>
        <v/>
      </c>
      <c r="H13" s="6">
        <f>IF($A13="","",COUNTIF('Tunnel runs'!$C:$C,$A13))</f>
        <v/>
      </c>
    </row>
    <row r="14">
      <c r="A14" s="27">
        <f>IF(Designs!$A13="","",Designs!$A13)</f>
        <v/>
      </c>
      <c r="B14" s="28">
        <f>IF($A14="","",IF(COUNTIFS(Combined!$A:$A,$A14,Combined!$C:$C,B$5,Combined!$G:$G,"Yes")=0,"",AVERAGEIFS(Combined!$K:$K,Combined!$A:$A,$A14,Combined!$C:$C,B$5,Combined!$G:$G,"Yes")))</f>
        <v/>
      </c>
      <c r="C14" s="28">
        <f>IF($A14="","",IF(COUNTIFS(Combined!$A:$A,$A14,Combined!$C:$C,C$5,Combined!$G:$G,"Yes")=0,"",AVERAGEIFS(Combined!$K:$K,Combined!$A:$A,$A14,Combined!$C:$C,C$5,Combined!$G:$G,"Yes")))</f>
        <v/>
      </c>
      <c r="D14" s="28">
        <f>IF($A14="","",IF(COUNTIFS(Combined!$A:$A,$A14,Combined!$C:$C,D$5,Combined!$G:$G,"Yes")=0,"",AVERAGEIFS(Combined!$K:$K,Combined!$A:$A,$A14,Combined!$C:$C,D$5,Combined!$G:$G,"Yes")))</f>
        <v/>
      </c>
      <c r="E14" s="28">
        <f>IF($A14="","",IF(COUNTIFS(Combined!$A:$A,$A14,Combined!$C:$C,E$5,Combined!$G:$G,"Yes")=0,"",AVERAGEIFS(Combined!$K:$K,Combined!$A:$A,$A14,Combined!$C:$C,E$5,Combined!$G:$G,"Yes")))</f>
        <v/>
      </c>
      <c r="F14" s="28">
        <f>IF($A14="","",IF(COUNTIFS(Combined!$A:$A,$A14,Combined!$C:$C,F$5,Combined!$G:$G,"Yes")=0,"",AVERAGEIFS(Combined!$K:$K,Combined!$A:$A,$A14,Combined!$C:$C,F$5,Combined!$G:$G,"Yes")))</f>
        <v/>
      </c>
      <c r="G14" s="28">
        <f>IF($A14="","",IF(COUNTIFS(Combined!$A:$A,$A14,Combined!$C:$C,100,Combined!$N:$N,"&gt;-1E+300")=0,"",AVERAGEIFS(Combined!$N:$N,Combined!$A:$A,$A14,Combined!$C:$C,100,Combined!$N:$N,"&gt;-1E+300")))</f>
        <v/>
      </c>
      <c r="H14" s="6">
        <f>IF($A14="","",COUNTIF('Tunnel runs'!$C:$C,$A14))</f>
        <v/>
      </c>
    </row>
    <row r="15">
      <c r="A15" s="27">
        <f>IF(Designs!$A14="","",Designs!$A14)</f>
        <v/>
      </c>
      <c r="B15" s="28">
        <f>IF($A15="","",IF(COUNTIFS(Combined!$A:$A,$A15,Combined!$C:$C,B$5,Combined!$G:$G,"Yes")=0,"",AVERAGEIFS(Combined!$K:$K,Combined!$A:$A,$A15,Combined!$C:$C,B$5,Combined!$G:$G,"Yes")))</f>
        <v/>
      </c>
      <c r="C15" s="28">
        <f>IF($A15="","",IF(COUNTIFS(Combined!$A:$A,$A15,Combined!$C:$C,C$5,Combined!$G:$G,"Yes")=0,"",AVERAGEIFS(Combined!$K:$K,Combined!$A:$A,$A15,Combined!$C:$C,C$5,Combined!$G:$G,"Yes")))</f>
        <v/>
      </c>
      <c r="D15" s="28">
        <f>IF($A15="","",IF(COUNTIFS(Combined!$A:$A,$A15,Combined!$C:$C,D$5,Combined!$G:$G,"Yes")=0,"",AVERAGEIFS(Combined!$K:$K,Combined!$A:$A,$A15,Combined!$C:$C,D$5,Combined!$G:$G,"Yes")))</f>
        <v/>
      </c>
      <c r="E15" s="28">
        <f>IF($A15="","",IF(COUNTIFS(Combined!$A:$A,$A15,Combined!$C:$C,E$5,Combined!$G:$G,"Yes")=0,"",AVERAGEIFS(Combined!$K:$K,Combined!$A:$A,$A15,Combined!$C:$C,E$5,Combined!$G:$G,"Yes")))</f>
        <v/>
      </c>
      <c r="F15" s="28">
        <f>IF($A15="","",IF(COUNTIFS(Combined!$A:$A,$A15,Combined!$C:$C,F$5,Combined!$G:$G,"Yes")=0,"",AVERAGEIFS(Combined!$K:$K,Combined!$A:$A,$A15,Combined!$C:$C,F$5,Combined!$G:$G,"Yes")))</f>
        <v/>
      </c>
      <c r="G15" s="28">
        <f>IF($A15="","",IF(COUNTIFS(Combined!$A:$A,$A15,Combined!$C:$C,100,Combined!$N:$N,"&gt;-1E+300")=0,"",AVERAGEIFS(Combined!$N:$N,Combined!$A:$A,$A15,Combined!$C:$C,100,Combined!$N:$N,"&gt;-1E+300")))</f>
        <v/>
      </c>
      <c r="H15" s="6">
        <f>IF($A15="","",COUNTIF('Tunnel runs'!$C:$C,$A15))</f>
        <v/>
      </c>
    </row>
    <row r="18">
      <c r="A18" s="3" t="inlineStr">
        <is>
          <t>Estimated apogee</t>
        </is>
      </c>
    </row>
    <row r="19">
      <c r="A19" s="2" t="inlineStr">
        <is>
          <t>Vertical coast with constant drag, from burnout to apogee. Take burnout altitude and velocity from OpenRocket. Tunnel speeds are lower than flight speeds, so treat this as a comparison between designs.</t>
        </is>
      </c>
    </row>
    <row r="20" ht="42" customHeight="1">
      <c r="A20" s="13" t="inlineStr">
        <is>
          <t>Design ID</t>
        </is>
      </c>
      <c r="B20" s="13" t="inlineStr">
        <is>
          <t>Coast mass (kg)</t>
        </is>
      </c>
      <c r="C20" s="13" t="inlineStr">
        <is>
          <t>Burnout altitude (m)</t>
        </is>
      </c>
      <c r="D20" s="13" t="inlineStr">
        <is>
          <t>Burnout velocity (m/s)</t>
        </is>
      </c>
      <c r="E20" s="13" t="inlineStr">
        <is>
          <t>Drag coefficient, stowed</t>
        </is>
      </c>
      <c r="F20" s="13" t="inlineStr">
        <is>
          <t>Drag coefficient, fully open</t>
        </is>
      </c>
      <c r="G20" s="13" t="inlineStr">
        <is>
          <t>Reference area (m²)</t>
        </is>
      </c>
      <c r="H20" s="13" t="inlineStr">
        <is>
          <t>Apogee, brakes stowed (ft)</t>
        </is>
      </c>
      <c r="I20" s="13" t="inlineStr">
        <is>
          <t>Apogee, brakes open all coast (ft)</t>
        </is>
      </c>
      <c r="J20" s="13" t="inlineStr">
        <is>
          <t>Target apogee (ft)</t>
        </is>
      </c>
      <c r="K20" s="13" t="inlineStr">
        <is>
          <t>Can the brakes reach the target?</t>
        </is>
      </c>
    </row>
    <row r="21">
      <c r="A21" s="27">
        <f>$A6</f>
        <v/>
      </c>
      <c r="B21" s="10" t="n"/>
      <c r="C21" s="10" t="n"/>
      <c r="D21" s="10" t="n"/>
      <c r="E21" s="28">
        <f>IF($A21="","",B6)</f>
        <v/>
      </c>
      <c r="F21" s="28">
        <f>IF($A21="","",F6)</f>
        <v/>
      </c>
      <c r="G21" s="29">
        <f>IF(COUNTIF(Designs!$A:$A,$A21)=0,"",INDEX(Designs!$D:$D,MATCH($A21,Designs!$A:$A,0)))</f>
        <v/>
      </c>
      <c r="H21" s="30">
        <f>IF(OR($A21="",$B21="",$C21="",$D21="",E21="",$G21=""),"",($C21+$B21/(Settings!$B$19*E21*$G21)*LN(1+Settings!$B$19*E21*$G21*$D21^2/(2*$B21*Settings!$B$17)))*Settings!$B$18)</f>
        <v/>
      </c>
      <c r="I21" s="30">
        <f>IF(OR($A21="",$B21="",$C21="",$D21="",F21="",$G21=""),"",($C21+$B21/(Settings!$B$19*F21*$G21)*LN(1+Settings!$B$19*F21*$G21*$D21^2/(2*$B21*Settings!$B$17)))*Settings!$B$18)</f>
        <v/>
      </c>
      <c r="J21" s="31">
        <f>IF($A21="","",Settings!$B$20)</f>
        <v/>
      </c>
      <c r="K21" s="6">
        <f>IF(OR(H21="",I21=""),"",IF(H21&lt;J21,"No: too low even stowed",IF(I21&gt;J21,"No: too high even fully open","Yes")))</f>
        <v/>
      </c>
    </row>
    <row r="22">
      <c r="A22" s="27">
        <f>$A7</f>
        <v/>
      </c>
      <c r="B22" s="10" t="n"/>
      <c r="C22" s="10" t="n"/>
      <c r="D22" s="10" t="n"/>
      <c r="E22" s="28">
        <f>IF($A22="","",B7)</f>
        <v/>
      </c>
      <c r="F22" s="28">
        <f>IF($A22="","",F7)</f>
        <v/>
      </c>
      <c r="G22" s="29">
        <f>IF(COUNTIF(Designs!$A:$A,$A22)=0,"",INDEX(Designs!$D:$D,MATCH($A22,Designs!$A:$A,0)))</f>
        <v/>
      </c>
      <c r="H22" s="30">
        <f>IF(OR($A22="",$B22="",$C22="",$D22="",E22="",$G22=""),"",($C22+$B22/(Settings!$B$19*E22*$G22)*LN(1+Settings!$B$19*E22*$G22*$D22^2/(2*$B22*Settings!$B$17)))*Settings!$B$18)</f>
        <v/>
      </c>
      <c r="I22" s="30">
        <f>IF(OR($A22="",$B22="",$C22="",$D22="",F22="",$G22=""),"",($C22+$B22/(Settings!$B$19*F22*$G22)*LN(1+Settings!$B$19*F22*$G22*$D22^2/(2*$B22*Settings!$B$17)))*Settings!$B$18)</f>
        <v/>
      </c>
      <c r="J22" s="31">
        <f>IF($A22="","",Settings!$B$20)</f>
        <v/>
      </c>
      <c r="K22" s="6">
        <f>IF(OR(H22="",I22=""),"",IF(H22&lt;J22,"No: too low even stowed",IF(I22&gt;J22,"No: too high even fully open","Yes")))</f>
        <v/>
      </c>
    </row>
    <row r="23">
      <c r="A23" s="27">
        <f>$A8</f>
        <v/>
      </c>
      <c r="B23" s="10" t="n"/>
      <c r="C23" s="10" t="n"/>
      <c r="D23" s="10" t="n"/>
      <c r="E23" s="28">
        <f>IF($A23="","",B8)</f>
        <v/>
      </c>
      <c r="F23" s="28">
        <f>IF($A23="","",F8)</f>
        <v/>
      </c>
      <c r="G23" s="29">
        <f>IF(COUNTIF(Designs!$A:$A,$A23)=0,"",INDEX(Designs!$D:$D,MATCH($A23,Designs!$A:$A,0)))</f>
        <v/>
      </c>
      <c r="H23" s="30">
        <f>IF(OR($A23="",$B23="",$C23="",$D23="",E23="",$G23=""),"",($C23+$B23/(Settings!$B$19*E23*$G23)*LN(1+Settings!$B$19*E23*$G23*$D23^2/(2*$B23*Settings!$B$17)))*Settings!$B$18)</f>
        <v/>
      </c>
      <c r="I23" s="30">
        <f>IF(OR($A23="",$B23="",$C23="",$D23="",F23="",$G23=""),"",($C23+$B23/(Settings!$B$19*F23*$G23)*LN(1+Settings!$B$19*F23*$G23*$D23^2/(2*$B23*Settings!$B$17)))*Settings!$B$18)</f>
        <v/>
      </c>
      <c r="J23" s="31">
        <f>IF($A23="","",Settings!$B$20)</f>
        <v/>
      </c>
      <c r="K23" s="6">
        <f>IF(OR(H23="",I23=""),"",IF(H23&lt;J23,"No: too low even stowed",IF(I23&gt;J23,"No: too high even fully open","Yes")))</f>
        <v/>
      </c>
    </row>
    <row r="24">
      <c r="A24" s="27">
        <f>$A9</f>
        <v/>
      </c>
      <c r="B24" s="10" t="n"/>
      <c r="C24" s="10" t="n"/>
      <c r="D24" s="10" t="n"/>
      <c r="E24" s="28">
        <f>IF($A24="","",B9)</f>
        <v/>
      </c>
      <c r="F24" s="28">
        <f>IF($A24="","",F9)</f>
        <v/>
      </c>
      <c r="G24" s="29">
        <f>IF(COUNTIF(Designs!$A:$A,$A24)=0,"",INDEX(Designs!$D:$D,MATCH($A24,Designs!$A:$A,0)))</f>
        <v/>
      </c>
      <c r="H24" s="30">
        <f>IF(OR($A24="",$B24="",$C24="",$D24="",E24="",$G24=""),"",($C24+$B24/(Settings!$B$19*E24*$G24)*LN(1+Settings!$B$19*E24*$G24*$D24^2/(2*$B24*Settings!$B$17)))*Settings!$B$18)</f>
        <v/>
      </c>
      <c r="I24" s="30">
        <f>IF(OR($A24="",$B24="",$C24="",$D24="",F24="",$G24=""),"",($C24+$B24/(Settings!$B$19*F24*$G24)*LN(1+Settings!$B$19*F24*$G24*$D24^2/(2*$B24*Settings!$B$17)))*Settings!$B$18)</f>
        <v/>
      </c>
      <c r="J24" s="31">
        <f>IF($A24="","",Settings!$B$20)</f>
        <v/>
      </c>
      <c r="K24" s="6">
        <f>IF(OR(H24="",I24=""),"",IF(H24&lt;J24,"No: too low even stowed",IF(I24&gt;J24,"No: too high even fully open","Yes")))</f>
        <v/>
      </c>
    </row>
    <row r="25">
      <c r="A25" s="27">
        <f>$A10</f>
        <v/>
      </c>
      <c r="B25" s="10" t="n"/>
      <c r="C25" s="10" t="n"/>
      <c r="D25" s="10" t="n"/>
      <c r="E25" s="28">
        <f>IF($A25="","",B10)</f>
        <v/>
      </c>
      <c r="F25" s="28">
        <f>IF($A25="","",F10)</f>
        <v/>
      </c>
      <c r="G25" s="29">
        <f>IF(COUNTIF(Designs!$A:$A,$A25)=0,"",INDEX(Designs!$D:$D,MATCH($A25,Designs!$A:$A,0)))</f>
        <v/>
      </c>
      <c r="H25" s="30">
        <f>IF(OR($A25="",$B25="",$C25="",$D25="",E25="",$G25=""),"",($C25+$B25/(Settings!$B$19*E25*$G25)*LN(1+Settings!$B$19*E25*$G25*$D25^2/(2*$B25*Settings!$B$17)))*Settings!$B$18)</f>
        <v/>
      </c>
      <c r="I25" s="30">
        <f>IF(OR($A25="",$B25="",$C25="",$D25="",F25="",$G25=""),"",($C25+$B25/(Settings!$B$19*F25*$G25)*LN(1+Settings!$B$19*F25*$G25*$D25^2/(2*$B25*Settings!$B$17)))*Settings!$B$18)</f>
        <v/>
      </c>
      <c r="J25" s="31">
        <f>IF($A25="","",Settings!$B$20)</f>
        <v/>
      </c>
      <c r="K25" s="6">
        <f>IF(OR(H25="",I25=""),"",IF(H25&lt;J25,"No: too low even stowed",IF(I25&gt;J25,"No: too high even fully open","Yes")))</f>
        <v/>
      </c>
    </row>
    <row r="26">
      <c r="A26" s="27">
        <f>$A11</f>
        <v/>
      </c>
      <c r="B26" s="10" t="n"/>
      <c r="C26" s="10" t="n"/>
      <c r="D26" s="10" t="n"/>
      <c r="E26" s="28">
        <f>IF($A26="","",B11)</f>
        <v/>
      </c>
      <c r="F26" s="28">
        <f>IF($A26="","",F11)</f>
        <v/>
      </c>
      <c r="G26" s="29">
        <f>IF(COUNTIF(Designs!$A:$A,$A26)=0,"",INDEX(Designs!$D:$D,MATCH($A26,Designs!$A:$A,0)))</f>
        <v/>
      </c>
      <c r="H26" s="30">
        <f>IF(OR($A26="",$B26="",$C26="",$D26="",E26="",$G26=""),"",($C26+$B26/(Settings!$B$19*E26*$G26)*LN(1+Settings!$B$19*E26*$G26*$D26^2/(2*$B26*Settings!$B$17)))*Settings!$B$18)</f>
        <v/>
      </c>
      <c r="I26" s="30">
        <f>IF(OR($A26="",$B26="",$C26="",$D26="",F26="",$G26=""),"",($C26+$B26/(Settings!$B$19*F26*$G26)*LN(1+Settings!$B$19*F26*$G26*$D26^2/(2*$B26*Settings!$B$17)))*Settings!$B$18)</f>
        <v/>
      </c>
      <c r="J26" s="31">
        <f>IF($A26="","",Settings!$B$20)</f>
        <v/>
      </c>
      <c r="K26" s="6">
        <f>IF(OR(H26="",I26=""),"",IF(H26&lt;J26,"No: too low even stowed",IF(I26&gt;J26,"No: too high even fully open","Yes")))</f>
        <v/>
      </c>
    </row>
    <row r="27">
      <c r="A27" s="27">
        <f>$A12</f>
        <v/>
      </c>
      <c r="B27" s="10" t="n"/>
      <c r="C27" s="10" t="n"/>
      <c r="D27" s="10" t="n"/>
      <c r="E27" s="28">
        <f>IF($A27="","",B12)</f>
        <v/>
      </c>
      <c r="F27" s="28">
        <f>IF($A27="","",F12)</f>
        <v/>
      </c>
      <c r="G27" s="29">
        <f>IF(COUNTIF(Designs!$A:$A,$A27)=0,"",INDEX(Designs!$D:$D,MATCH($A27,Designs!$A:$A,0)))</f>
        <v/>
      </c>
      <c r="H27" s="30">
        <f>IF(OR($A27="",$B27="",$C27="",$D27="",E27="",$G27=""),"",($C27+$B27/(Settings!$B$19*E27*$G27)*LN(1+Settings!$B$19*E27*$G27*$D27^2/(2*$B27*Settings!$B$17)))*Settings!$B$18)</f>
        <v/>
      </c>
      <c r="I27" s="30">
        <f>IF(OR($A27="",$B27="",$C27="",$D27="",F27="",$G27=""),"",($C27+$B27/(Settings!$B$19*F27*$G27)*LN(1+Settings!$B$19*F27*$G27*$D27^2/(2*$B27*Settings!$B$17)))*Settings!$B$18)</f>
        <v/>
      </c>
      <c r="J27" s="31">
        <f>IF($A27="","",Settings!$B$20)</f>
        <v/>
      </c>
      <c r="K27" s="6">
        <f>IF(OR(H27="",I27=""),"",IF(H27&lt;J27,"No: too low even stowed",IF(I27&gt;J27,"No: too high even fully open","Yes")))</f>
        <v/>
      </c>
    </row>
    <row r="28">
      <c r="A28" s="27">
        <f>$A13</f>
        <v/>
      </c>
      <c r="B28" s="10" t="n"/>
      <c r="C28" s="10" t="n"/>
      <c r="D28" s="10" t="n"/>
      <c r="E28" s="28">
        <f>IF($A28="","",B13)</f>
        <v/>
      </c>
      <c r="F28" s="28">
        <f>IF($A28="","",F13)</f>
        <v/>
      </c>
      <c r="G28" s="29">
        <f>IF(COUNTIF(Designs!$A:$A,$A28)=0,"",INDEX(Designs!$D:$D,MATCH($A28,Designs!$A:$A,0)))</f>
        <v/>
      </c>
      <c r="H28" s="30">
        <f>IF(OR($A28="",$B28="",$C28="",$D28="",E28="",$G28=""),"",($C28+$B28/(Settings!$B$19*E28*$G28)*LN(1+Settings!$B$19*E28*$G28*$D28^2/(2*$B28*Settings!$B$17)))*Settings!$B$18)</f>
        <v/>
      </c>
      <c r="I28" s="30">
        <f>IF(OR($A28="",$B28="",$C28="",$D28="",F28="",$G28=""),"",($C28+$B28/(Settings!$B$19*F28*$G28)*LN(1+Settings!$B$19*F28*$G28*$D28^2/(2*$B28*Settings!$B$17)))*Settings!$B$18)</f>
        <v/>
      </c>
      <c r="J28" s="31">
        <f>IF($A28="","",Settings!$B$20)</f>
        <v/>
      </c>
      <c r="K28" s="6">
        <f>IF(OR(H28="",I28=""),"",IF(H28&lt;J28,"No: too low even stowed",IF(I28&gt;J28,"No: too high even fully open","Yes")))</f>
        <v/>
      </c>
    </row>
    <row r="29">
      <c r="A29" s="27">
        <f>$A14</f>
        <v/>
      </c>
      <c r="B29" s="10" t="n"/>
      <c r="C29" s="10" t="n"/>
      <c r="D29" s="10" t="n"/>
      <c r="E29" s="28">
        <f>IF($A29="","",B14)</f>
        <v/>
      </c>
      <c r="F29" s="28">
        <f>IF($A29="","",F14)</f>
        <v/>
      </c>
      <c r="G29" s="29">
        <f>IF(COUNTIF(Designs!$A:$A,$A29)=0,"",INDEX(Designs!$D:$D,MATCH($A29,Designs!$A:$A,0)))</f>
        <v/>
      </c>
      <c r="H29" s="30">
        <f>IF(OR($A29="",$B29="",$C29="",$D29="",E29="",$G29=""),"",($C29+$B29/(Settings!$B$19*E29*$G29)*LN(1+Settings!$B$19*E29*$G29*$D29^2/(2*$B29*Settings!$B$17)))*Settings!$B$18)</f>
        <v/>
      </c>
      <c r="I29" s="30">
        <f>IF(OR($A29="",$B29="",$C29="",$D29="",F29="",$G29=""),"",($C29+$B29/(Settings!$B$19*F29*$G29)*LN(1+Settings!$B$19*F29*$G29*$D29^2/(2*$B29*Settings!$B$17)))*Settings!$B$18)</f>
        <v/>
      </c>
      <c r="J29" s="31">
        <f>IF($A29="","",Settings!$B$20)</f>
        <v/>
      </c>
      <c r="K29" s="6">
        <f>IF(OR(H29="",I29=""),"",IF(H29&lt;J29,"No: too low even stowed",IF(I29&gt;J29,"No: too high even fully open","Yes")))</f>
        <v/>
      </c>
    </row>
    <row r="30">
      <c r="A30" s="27">
        <f>$A15</f>
        <v/>
      </c>
      <c r="B30" s="10" t="n"/>
      <c r="C30" s="10" t="n"/>
      <c r="D30" s="10" t="n"/>
      <c r="E30" s="28">
        <f>IF($A30="","",B15)</f>
        <v/>
      </c>
      <c r="F30" s="28">
        <f>IF($A30="","",F15)</f>
        <v/>
      </c>
      <c r="G30" s="29">
        <f>IF(COUNTIF(Designs!$A:$A,$A30)=0,"",INDEX(Designs!$D:$D,MATCH($A30,Designs!$A:$A,0)))</f>
        <v/>
      </c>
      <c r="H30" s="30">
        <f>IF(OR($A30="",$B30="",$C30="",$D30="",E30="",$G30=""),"",($C30+$B30/(Settings!$B$19*E30*$G30)*LN(1+Settings!$B$19*E30*$G30*$D30^2/(2*$B30*Settings!$B$17)))*Settings!$B$18)</f>
        <v/>
      </c>
      <c r="I30" s="30">
        <f>IF(OR($A30="",$B30="",$C30="",$D30="",F30="",$G30=""),"",($C30+$B30/(Settings!$B$19*F30*$G30)*LN(1+Settings!$B$19*F30*$G30*$D30^2/(2*$B30*Settings!$B$17)))*Settings!$B$18)</f>
        <v/>
      </c>
      <c r="J30" s="31">
        <f>IF($A30="","",Settings!$B$20)</f>
        <v/>
      </c>
      <c r="K30" s="6">
        <f>IF(OR(H30="",I30=""),"",IF(H30&lt;J30,"No: too low even stowed",IF(I30&gt;J30,"No: too high even fully open","Yes")))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2026-10-05T00:02:17Z</dcterms:created>
  <dcterms:modified xsi:type="dcterms:W3CDTF">2026-10-05T00:02:17Z</dcterms:modified>
</cp:coreProperties>
</file>